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Qualidade_TDE01 (3)\Qualidade_TDE01\Versao_Checklist\"/>
    </mc:Choice>
  </mc:AlternateContent>
  <xr:revisionPtr revIDLastSave="0" documentId="13_ncr:1_{8874FD29-4834-476B-AC67-4AA4D45AB777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Checklist" sheetId="1" r:id="rId1"/>
    <sheet name="Resumo e Regr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" l="1"/>
  <c r="I17" i="3"/>
  <c r="I16" i="3"/>
  <c r="I15" i="3"/>
  <c r="B10" i="3"/>
  <c r="B9" i="3"/>
  <c r="B8" i="3"/>
  <c r="B7" i="3"/>
  <c r="B6" i="3"/>
  <c r="B5" i="3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I14" i="3" l="1"/>
  <c r="B11" i="3"/>
  <c r="B12" i="3" s="1"/>
</calcChain>
</file>

<file path=xl/sharedStrings.xml><?xml version="1.0" encoding="utf-8"?>
<sst xmlns="http://schemas.openxmlformats.org/spreadsheetml/2006/main" count="177" uniqueCount="154">
  <si>
    <t>CHECKLIST DE AVALIAÇÃO — RELATÓRIO DE TESTE DE USABILIDADE</t>
  </si>
  <si>
    <t>Auditoria documental | Disciplina de Qualidade de Software | Versão do checklist 1.2</t>
  </si>
  <si>
    <t>Artefato avaliado</t>
  </si>
  <si>
    <t>RA1_TesteDeUsabilidade1.pdf</t>
  </si>
  <si>
    <t>Sistema</t>
  </si>
  <si>
    <t>GitHub Web</t>
  </si>
  <si>
    <t>Equipe avaliada</t>
  </si>
  <si>
    <t>Christopher Paterno; Ronald Lipski; Gustavo Isdra; Bernardo Roche</t>
  </si>
  <si>
    <t>Data da avaliação</t>
  </si>
  <si>
    <t>Equipe avaliadora</t>
  </si>
  <si>
    <t>Afonso Braga Plentz; Giovana Fernandes Alves Martins; Gustavo Campos Souza; Lucas Gabriel Alfaro da Silva</t>
  </si>
  <si>
    <t>Como usar: selecione CF, NC ou N/A em cada critério. A aderência considera apenas os itens avaliáveis: CF ÷ (CF + NC). Registre a evidência observada antes de encaminhar uma NC para correção.</t>
  </si>
  <si>
    <t>Nº</t>
  </si>
  <si>
    <t>Seção</t>
  </si>
  <si>
    <t>Critério de avaliação</t>
  </si>
  <si>
    <t>Evidência esperada</t>
  </si>
  <si>
    <t>Resultado</t>
  </si>
  <si>
    <t>% de aderência</t>
  </si>
  <si>
    <t>Introdução e contexto</t>
  </si>
  <si>
    <t>O contexto caracteriza o sistema web avaliado?</t>
  </si>
  <si>
    <t>Nome, finalidade, endereço eletrônico e público-alvo registrados no contexto.</t>
  </si>
  <si>
    <t>A justificativa para a escolha do sistema foi apresentada?</t>
  </si>
  <si>
    <t>Justificativa registrada na introdução.</t>
  </si>
  <si>
    <t>Os objetivos específicos do teste foram descritos?</t>
  </si>
  <si>
    <t>Objetivos verificáveis registrados na introdução.</t>
  </si>
  <si>
    <t>O aspecto de qualidade avaliado foi identificado?</t>
  </si>
  <si>
    <t>Menção explícita à usabilidade como aspecto de qualidade.</t>
  </si>
  <si>
    <t>Metodologia e planejamento</t>
  </si>
  <si>
    <t>As tarefas planejadas para os participantes foram listadas?</t>
  </si>
  <si>
    <t>Relação das tarefas previstas para o teste.</t>
  </si>
  <si>
    <t>Cada tarefa indica uma heurística de Nielsen?</t>
  </si>
  <si>
    <t>Heurística associada a cada tarefa planejada.</t>
  </si>
  <si>
    <t>Cada tarefa possui um cenário de uso definido?</t>
  </si>
  <si>
    <t>Ação do participante descrita em cada tarefa.</t>
  </si>
  <si>
    <t>Cada tarefa identifica a interface avaliada?</t>
  </si>
  <si>
    <t>Tela, página ou componente associado a cada tarefa.</t>
  </si>
  <si>
    <t>A aplicação da técnica de caixa preta foi explicada?</t>
  </si>
  <si>
    <t>Descrição de como o comportamento externo do sistema foi observado.</t>
  </si>
  <si>
    <t>A relevância da técnica de caixa preta para o teste foi justificada?</t>
  </si>
  <si>
    <t>Relação entre a técnica e a avaliação de usabilidade.</t>
  </si>
  <si>
    <t>Os recursos utilizados no teste foram identificados?</t>
  </si>
  <si>
    <t>Ferramentas, dispositivos ou materiais de registro listados.</t>
  </si>
  <si>
    <t>Execução do teste</t>
  </si>
  <si>
    <t>O processo de execução do teste foi descrito?</t>
  </si>
  <si>
    <t>Sequência adotada para aplicação das tarefas.</t>
  </si>
  <si>
    <t>Cada tarefa planejada possui um resultado registrado?</t>
  </si>
  <si>
    <t>Resultado associado a cada tarefa do planejamento.</t>
  </si>
  <si>
    <t>Cada tarefa executada possui uma evidência verificável?</t>
  </si>
  <si>
    <t>Captura, registro, link ou referência associado à tarefa.</t>
  </si>
  <si>
    <t>Cada evidência sustenta o resultado atribuído à tarefa?</t>
  </si>
  <si>
    <t>Correspondência entre evidência, comportamento observado e resultado.</t>
  </si>
  <si>
    <t>Análise de usabilidade</t>
  </si>
  <si>
    <t>A análise contempla as dez heurísticas de Nielsen?</t>
  </si>
  <si>
    <t>Resultados identificáveis para as heurísticas 1 a 10.</t>
  </si>
  <si>
    <t>Os achados da análise são rastreáveis aos testes executados?</t>
  </si>
  <si>
    <t>Referências aos casos de teste e às evidências da execução.</t>
  </si>
  <si>
    <t>Os problemas de maior impacto foram identificados?</t>
  </si>
  <si>
    <t>Lista ou destaque dos problemas prioritários.</t>
  </si>
  <si>
    <t>Cada problema de maior impacto possui uma classificação?</t>
  </si>
  <si>
    <t>Classificação associada a cada problema destacado.</t>
  </si>
  <si>
    <t>Conclusão e recomendações</t>
  </si>
  <si>
    <t>A conclusão sintetiza a avaliação geral da qualidade do sistema?</t>
  </si>
  <si>
    <t>Síntese compatível com os resultados da execução e da análise.</t>
  </si>
  <si>
    <t>As recomendações decorrem dos problemas identificados?</t>
  </si>
  <si>
    <t>Recomendação vinculada a um achado do teste.</t>
  </si>
  <si>
    <t>Checklist do processo</t>
  </si>
  <si>
    <t>O checklist registra as etapas previstas do processo de teste?</t>
  </si>
  <si>
    <t>Registros de planejamento, preparação, execução, análise e revisão.</t>
  </si>
  <si>
    <t>O responsável pela aplicação do checklist foi identificado?</t>
  </si>
  <si>
    <t>Nome do aplicador do checklist.</t>
  </si>
  <si>
    <t>O responsável pela revisão do checklist foi identificado?</t>
  </si>
  <si>
    <t>Nome do revisor do checklist.</t>
  </si>
  <si>
    <t>Referências</t>
  </si>
  <si>
    <t>A fonte utilizada para as heurísticas de Nielsen foi citada?</t>
  </si>
  <si>
    <t>Referência bibliográfica ou endereço eletrônico.</t>
  </si>
  <si>
    <t>A fonte utilizada para a técnica de caixa preta foi citada?</t>
  </si>
  <si>
    <t>Consistência documental</t>
  </si>
  <si>
    <t>A estrutura do documento segue a ordem definida no template?</t>
  </si>
  <si>
    <t>Sequência de seções comparável ao template fornecido.</t>
  </si>
  <si>
    <t>Os textos de orientação do template foram removidos da versão avaliada?</t>
  </si>
  <si>
    <t>Ausência de instruções e marcadores de preenchimento.</t>
  </si>
  <si>
    <t>Os identificadores das tarefas coincidem entre planejamento e execução?</t>
  </si>
  <si>
    <t>Mesmos códigos ou referências nas duas seções.</t>
  </si>
  <si>
    <t>Os quantitativos apresentados na análise coincidem com os resultados da execução?</t>
  </si>
  <si>
    <t>Totais e percentuais reconciliados com as tarefas executadas.</t>
  </si>
  <si>
    <t>Classificação</t>
  </si>
  <si>
    <t>Prioridade</t>
  </si>
  <si>
    <t>Prazo (min)</t>
  </si>
  <si>
    <t>RESUMO DA AVALIAÇÃO E REGRAS DE TRATAMENTO</t>
  </si>
  <si>
    <t>Indicadores calculados a partir da aba Checklist | Prazos de correção definidos em minutos</t>
  </si>
  <si>
    <t>INDICADORES DE ADERÊNCIA</t>
  </si>
  <si>
    <t>FAIXAS DE ADERÊNCIA</t>
  </si>
  <si>
    <t>CLASSIFICAÇÃO, PRIORIDADE E PRAZO DE CORREÇÃO</t>
  </si>
  <si>
    <t>Total de critérios</t>
  </si>
  <si>
    <t>Faixa</t>
  </si>
  <si>
    <t>Interpretação</t>
  </si>
  <si>
    <t>Critério de enquadramento</t>
  </si>
  <si>
    <t>Itens avaliados (CF + NC)</t>
  </si>
  <si>
    <t>0% a 60%</t>
  </si>
  <si>
    <t>Baixa aderência — revisar o artefato antes da aprovação.</t>
  </si>
  <si>
    <t>Baixa</t>
  </si>
  <si>
    <t>P3 — Baixa</t>
  </si>
  <si>
    <t>Ajuste localizado de apresentação, padronização ou informação complementar.</t>
  </si>
  <si>
    <t>Em conformidade (CF)</t>
  </si>
  <si>
    <t>&gt;60% a 90%</t>
  </si>
  <si>
    <t>Aderência parcial — corrigir as NC antes da aprovação.</t>
  </si>
  <si>
    <t>Média</t>
  </si>
  <si>
    <t>P2 — Média</t>
  </si>
  <si>
    <t>Reduz clareza, rastreabilidade ou completude, sem invalidar o resultado principal.</t>
  </si>
  <si>
    <t>Não conformidades (NC)</t>
  </si>
  <si>
    <t>&gt;90% a 100%</t>
  </si>
  <si>
    <t>Alta aderência — tratar as NC remanescentes.</t>
  </si>
  <si>
    <t>Alta</t>
  </si>
  <si>
    <t>P1 — Alta</t>
  </si>
  <si>
    <t>Compromete requisito obrigatório, conclusão relevante ou confiabilidade do relatório.</t>
  </si>
  <si>
    <t>Não aplicáveis (N/A)</t>
  </si>
  <si>
    <t>Itens pendentes</t>
  </si>
  <si>
    <t>Aderência geral</t>
  </si>
  <si>
    <t>Nível de aderência</t>
  </si>
  <si>
    <t>CONTROLE DE NÃO CONFORMIDADES</t>
  </si>
  <si>
    <t>Indicador</t>
  </si>
  <si>
    <t>Quantidade</t>
  </si>
  <si>
    <t>Regra</t>
  </si>
  <si>
    <t>NC classificadas</t>
  </si>
  <si>
    <t>NC com classificação definida</t>
  </si>
  <si>
    <t>LEGENDA DE PREENCHIMENTO</t>
  </si>
  <si>
    <t>NC abertas</t>
  </si>
  <si>
    <t>Status Aberta</t>
  </si>
  <si>
    <t>Código</t>
  </si>
  <si>
    <t>Significado</t>
  </si>
  <si>
    <t>Quando usar</t>
  </si>
  <si>
    <t>Impacto no cálculo</t>
  </si>
  <si>
    <t>Registro necessário</t>
  </si>
  <si>
    <t>NC em correção</t>
  </si>
  <si>
    <t>Status Em correção</t>
  </si>
  <si>
    <t>CF</t>
  </si>
  <si>
    <t>Conforme</t>
  </si>
  <si>
    <t>O requisito possui evidência suficiente no documento.</t>
  </si>
  <si>
    <t>Conta como 1</t>
  </si>
  <si>
    <t>Indicar página, seção, tabela ou evidência.</t>
  </si>
  <si>
    <t>NC resolvidas</t>
  </si>
  <si>
    <t>Status Resolvida</t>
  </si>
  <si>
    <t>NC</t>
  </si>
  <si>
    <t>Não conforme</t>
  </si>
  <si>
    <t>O requisito não foi atendido ou não possui evidência suficiente.</t>
  </si>
  <si>
    <t>Conta como 0</t>
  </si>
  <si>
    <t>Descrever a evidência e abrir o controle de NC.</t>
  </si>
  <si>
    <t>NC escalonadas</t>
  </si>
  <si>
    <t>Status Escalonada</t>
  </si>
  <si>
    <t>N/A</t>
  </si>
  <si>
    <t>Não aplicável</t>
  </si>
  <si>
    <t>O requisito não se aplica ao escopo do artefato.</t>
  </si>
  <si>
    <t>Excluído do cálculo</t>
  </si>
  <si>
    <t>Justificar a não aplicabilidade.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</si>
</sst>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min&quot;"/>
    <numFmt numFmtId="165" formatCode="0.0%"/>
  </numFmts>
  <fonts count="10" x14ac:knownFonts="1">
    <font>
      <sz val="11"/>
      <name val="Carlito"/>
    </font>
    <font>
      <b/>
      <sz val="16"/>
      <color rgb="FFFFFFFF"/>
      <name val="Arial"/>
    </font>
    <font>
      <i/>
      <sz val="10"/>
      <color rgb="FF17365D"/>
      <name val="Arial"/>
    </font>
    <font>
      <i/>
      <sz val="9"/>
      <color rgb="FF7F6000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1"/>
      <color rgb="FFFFFFFF"/>
      <name val="Arial"/>
    </font>
    <font>
      <b/>
      <sz val="10"/>
      <color rgb="FF17365D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3F4F6"/>
      </patternFill>
    </fill>
    <fill>
      <patternFill patternType="solid">
        <fgColor rgb="FFEEF5FB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15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 style="thin">
        <color rgb="FFB8C4CE"/>
      </right>
      <top/>
      <bottom/>
      <diagonal/>
    </border>
    <border>
      <left style="thin">
        <color rgb="FFB8C4CE"/>
      </left>
      <right style="thin">
        <color rgb="FFB8C4CE"/>
      </right>
      <top/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6" borderId="8" xfId="0" applyNumberFormat="1" applyFont="1" applyFill="1" applyBorder="1" applyAlignment="1">
      <alignment horizontal="center" vertical="center" wrapText="1"/>
    </xf>
    <xf numFmtId="9" fontId="7" fillId="6" borderId="0" xfId="0" applyNumberFormat="1" applyFont="1" applyFill="1" applyAlignment="1">
      <alignment horizontal="center" vertical="center" wrapText="1"/>
    </xf>
    <xf numFmtId="9" fontId="7" fillId="6" borderId="13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165" fontId="7" fillId="6" borderId="1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164" fontId="5" fillId="8" borderId="8" xfId="0" applyNumberFormat="1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5" fillId="4" borderId="11" xfId="0" applyFont="1" applyFill="1" applyBorder="1" applyAlignment="1">
      <alignment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164" fontId="5" fillId="9" borderId="13" xfId="0" applyNumberFormat="1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5" fillId="9" borderId="11" xfId="0" applyFont="1" applyFill="1" applyBorder="1" applyAlignment="1">
      <alignment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vertical="center" wrapText="1"/>
    </xf>
    <xf numFmtId="0" fontId="5" fillId="10" borderId="14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5B6573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hecklistUsabilidade" displayName="TabelaChecklistUsabilidade" ref="A7:F37" totalsRowShown="0">
  <autoFilter ref="A7:F37" xr:uid="{00000000-0009-0000-0100-000001000000}"/>
  <tableColumns count="6">
    <tableColumn id="1" xr3:uid="{00000000-0010-0000-0000-000001000000}" name="Nº"/>
    <tableColumn id="2" xr3:uid="{00000000-0010-0000-0000-000002000000}" name="Seção"/>
    <tableColumn id="3" xr3:uid="{00000000-0010-0000-0000-000003000000}" name="Critério de avaliação"/>
    <tableColumn id="4" xr3:uid="{00000000-0010-0000-0000-000004000000}" name="Evidência esperada"/>
    <tableColumn id="5" xr3:uid="{00000000-0010-0000-0000-000005000000}" name="Resultado"/>
    <tableColumn id="6" xr3:uid="{00000000-0010-0000-0000-000006000000}" name="% de ader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showGridLines="0" tabSelected="1" topLeftCell="A8" zoomScale="67" workbookViewId="0">
      <selection activeCell="K9" sqref="K9"/>
    </sheetView>
  </sheetViews>
  <sheetFormatPr defaultRowHeight="14.25" x14ac:dyDescent="0.2"/>
  <cols>
    <col min="1" max="1" width="13.5" bestFit="1" customWidth="1"/>
    <col min="2" max="2" width="24" customWidth="1"/>
    <col min="3" max="3" width="58" customWidth="1"/>
    <col min="4" max="4" width="43" customWidth="1"/>
    <col min="5" max="5" width="13" customWidth="1"/>
    <col min="6" max="6" width="14" customWidth="1"/>
  </cols>
  <sheetData>
    <row r="1" spans="1:6" ht="30" customHeight="1" x14ac:dyDescent="0.2">
      <c r="A1" s="65" t="s">
        <v>0</v>
      </c>
      <c r="B1" s="65"/>
      <c r="C1" s="65"/>
      <c r="D1" s="65"/>
      <c r="E1" s="65"/>
      <c r="F1" s="65"/>
    </row>
    <row r="2" spans="1:6" ht="21" customHeight="1" x14ac:dyDescent="0.2">
      <c r="A2" s="66" t="s">
        <v>1</v>
      </c>
      <c r="B2" s="66"/>
      <c r="C2" s="66"/>
      <c r="D2" s="66"/>
      <c r="E2" s="66"/>
      <c r="F2" s="66"/>
    </row>
    <row r="3" spans="1:6" ht="24" customHeight="1" x14ac:dyDescent="0.2">
      <c r="A3" s="1" t="s">
        <v>2</v>
      </c>
      <c r="B3" s="67" t="s">
        <v>3</v>
      </c>
      <c r="C3" s="68"/>
      <c r="D3" s="69"/>
      <c r="E3" s="1" t="s">
        <v>4</v>
      </c>
      <c r="F3" s="58" t="s">
        <v>5</v>
      </c>
    </row>
    <row r="4" spans="1:6" ht="24" customHeight="1" x14ac:dyDescent="0.2">
      <c r="A4" s="2" t="s">
        <v>6</v>
      </c>
      <c r="B4" s="70" t="s">
        <v>7</v>
      </c>
      <c r="C4" s="71"/>
      <c r="D4" s="72"/>
      <c r="E4" s="3" t="s">
        <v>8</v>
      </c>
      <c r="F4" s="59"/>
    </row>
    <row r="5" spans="1:6" ht="24" customHeight="1" x14ac:dyDescent="0.2">
      <c r="A5" s="3" t="s">
        <v>9</v>
      </c>
      <c r="B5" s="60" t="s">
        <v>10</v>
      </c>
      <c r="C5" s="61"/>
      <c r="D5" s="62"/>
      <c r="E5" s="61"/>
      <c r="F5" s="61"/>
    </row>
    <row r="6" spans="1:6" ht="30" customHeight="1" x14ac:dyDescent="0.2">
      <c r="A6" s="63" t="s">
        <v>11</v>
      </c>
      <c r="B6" s="64"/>
      <c r="C6" s="64"/>
      <c r="D6" s="64"/>
      <c r="E6" s="64"/>
      <c r="F6" s="64"/>
    </row>
    <row r="7" spans="1:6" ht="34.15" customHeight="1" x14ac:dyDescent="0.2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</row>
    <row r="8" spans="1:6" ht="37.9" customHeight="1" x14ac:dyDescent="0.2">
      <c r="A8" s="14">
        <v>1</v>
      </c>
      <c r="B8" s="11" t="s">
        <v>18</v>
      </c>
      <c r="C8" s="11" t="s">
        <v>19</v>
      </c>
      <c r="D8" s="11" t="s">
        <v>20</v>
      </c>
      <c r="E8" s="17"/>
      <c r="F8" s="20"/>
    </row>
    <row r="9" spans="1:6" ht="37.9" customHeight="1" x14ac:dyDescent="0.2">
      <c r="A9" s="15">
        <v>2</v>
      </c>
      <c r="B9" s="12" t="s">
        <v>18</v>
      </c>
      <c r="C9" s="12" t="s">
        <v>21</v>
      </c>
      <c r="D9" s="12" t="s">
        <v>22</v>
      </c>
      <c r="E9" s="18"/>
      <c r="F9" s="21"/>
    </row>
    <row r="10" spans="1:6" ht="37.9" customHeight="1" x14ac:dyDescent="0.2">
      <c r="A10" s="15">
        <v>3</v>
      </c>
      <c r="B10" s="12" t="s">
        <v>18</v>
      </c>
      <c r="C10" s="12" t="s">
        <v>23</v>
      </c>
      <c r="D10" s="12" t="s">
        <v>24</v>
      </c>
      <c r="E10" s="18"/>
      <c r="F10" s="21" t="str">
        <f t="shared" ref="F10:F37" si="0">IF(E10="","",IF(E10="N/A","",IF(E10="CF",1,0)))</f>
        <v/>
      </c>
    </row>
    <row r="11" spans="1:6" ht="37.9" customHeight="1" x14ac:dyDescent="0.2">
      <c r="A11" s="15">
        <v>4</v>
      </c>
      <c r="B11" s="12" t="s">
        <v>18</v>
      </c>
      <c r="C11" s="12" t="s">
        <v>25</v>
      </c>
      <c r="D11" s="12" t="s">
        <v>26</v>
      </c>
      <c r="E11" s="18"/>
      <c r="F11" s="21" t="str">
        <f t="shared" si="0"/>
        <v/>
      </c>
    </row>
    <row r="12" spans="1:6" ht="37.9" customHeight="1" x14ac:dyDescent="0.2">
      <c r="A12" s="15">
        <v>5</v>
      </c>
      <c r="B12" s="12" t="s">
        <v>27</v>
      </c>
      <c r="C12" s="12" t="s">
        <v>28</v>
      </c>
      <c r="D12" s="12" t="s">
        <v>29</v>
      </c>
      <c r="E12" s="18"/>
      <c r="F12" s="21" t="str">
        <f t="shared" si="0"/>
        <v/>
      </c>
    </row>
    <row r="13" spans="1:6" ht="37.9" customHeight="1" x14ac:dyDescent="0.2">
      <c r="A13" s="15">
        <v>6</v>
      </c>
      <c r="B13" s="12" t="s">
        <v>27</v>
      </c>
      <c r="C13" s="12" t="s">
        <v>30</v>
      </c>
      <c r="D13" s="12" t="s">
        <v>31</v>
      </c>
      <c r="E13" s="18"/>
      <c r="F13" s="21" t="str">
        <f t="shared" si="0"/>
        <v/>
      </c>
    </row>
    <row r="14" spans="1:6" ht="37.9" customHeight="1" x14ac:dyDescent="0.2">
      <c r="A14" s="15">
        <v>7</v>
      </c>
      <c r="B14" s="12" t="s">
        <v>27</v>
      </c>
      <c r="C14" s="12" t="s">
        <v>32</v>
      </c>
      <c r="D14" s="12" t="s">
        <v>33</v>
      </c>
      <c r="E14" s="18"/>
      <c r="F14" s="21" t="str">
        <f t="shared" si="0"/>
        <v/>
      </c>
    </row>
    <row r="15" spans="1:6" ht="37.9" customHeight="1" x14ac:dyDescent="0.2">
      <c r="A15" s="15">
        <v>8</v>
      </c>
      <c r="B15" s="12" t="s">
        <v>27</v>
      </c>
      <c r="C15" s="12" t="s">
        <v>34</v>
      </c>
      <c r="D15" s="12" t="s">
        <v>35</v>
      </c>
      <c r="E15" s="18"/>
      <c r="F15" s="21" t="str">
        <f t="shared" si="0"/>
        <v/>
      </c>
    </row>
    <row r="16" spans="1:6" ht="37.9" customHeight="1" x14ac:dyDescent="0.2">
      <c r="A16" s="15">
        <v>9</v>
      </c>
      <c r="B16" s="12" t="s">
        <v>27</v>
      </c>
      <c r="C16" s="12" t="s">
        <v>36</v>
      </c>
      <c r="D16" s="12" t="s">
        <v>37</v>
      </c>
      <c r="E16" s="18"/>
      <c r="F16" s="21" t="str">
        <f t="shared" si="0"/>
        <v/>
      </c>
    </row>
    <row r="17" spans="1:6" ht="37.9" customHeight="1" x14ac:dyDescent="0.2">
      <c r="A17" s="15">
        <v>10</v>
      </c>
      <c r="B17" s="12" t="s">
        <v>27</v>
      </c>
      <c r="C17" s="12" t="s">
        <v>38</v>
      </c>
      <c r="D17" s="12" t="s">
        <v>39</v>
      </c>
      <c r="E17" s="18"/>
      <c r="F17" s="21" t="str">
        <f t="shared" si="0"/>
        <v/>
      </c>
    </row>
    <row r="18" spans="1:6" ht="37.9" customHeight="1" x14ac:dyDescent="0.2">
      <c r="A18" s="15">
        <v>11</v>
      </c>
      <c r="B18" s="12" t="s">
        <v>27</v>
      </c>
      <c r="C18" s="12" t="s">
        <v>40</v>
      </c>
      <c r="D18" s="12" t="s">
        <v>41</v>
      </c>
      <c r="E18" s="18"/>
      <c r="F18" s="21" t="str">
        <f t="shared" si="0"/>
        <v/>
      </c>
    </row>
    <row r="19" spans="1:6" ht="37.9" customHeight="1" x14ac:dyDescent="0.2">
      <c r="A19" s="15">
        <v>12</v>
      </c>
      <c r="B19" s="12" t="s">
        <v>42</v>
      </c>
      <c r="C19" s="12" t="s">
        <v>43</v>
      </c>
      <c r="D19" s="12" t="s">
        <v>44</v>
      </c>
      <c r="E19" s="18"/>
      <c r="F19" s="21" t="str">
        <f t="shared" si="0"/>
        <v/>
      </c>
    </row>
    <row r="20" spans="1:6" ht="37.9" customHeight="1" x14ac:dyDescent="0.2">
      <c r="A20" s="15">
        <v>13</v>
      </c>
      <c r="B20" s="12" t="s">
        <v>42</v>
      </c>
      <c r="C20" s="12" t="s">
        <v>45</v>
      </c>
      <c r="D20" s="12" t="s">
        <v>46</v>
      </c>
      <c r="E20" s="18"/>
      <c r="F20" s="21" t="str">
        <f t="shared" si="0"/>
        <v/>
      </c>
    </row>
    <row r="21" spans="1:6" ht="37.9" customHeight="1" x14ac:dyDescent="0.2">
      <c r="A21" s="15">
        <v>14</v>
      </c>
      <c r="B21" s="12" t="s">
        <v>42</v>
      </c>
      <c r="C21" s="12" t="s">
        <v>47</v>
      </c>
      <c r="D21" s="12" t="s">
        <v>48</v>
      </c>
      <c r="E21" s="18"/>
      <c r="F21" s="21" t="str">
        <f t="shared" si="0"/>
        <v/>
      </c>
    </row>
    <row r="22" spans="1:6" ht="37.9" customHeight="1" x14ac:dyDescent="0.2">
      <c r="A22" s="15">
        <v>15</v>
      </c>
      <c r="B22" s="12" t="s">
        <v>42</v>
      </c>
      <c r="C22" s="12" t="s">
        <v>49</v>
      </c>
      <c r="D22" s="12" t="s">
        <v>50</v>
      </c>
      <c r="E22" s="18"/>
      <c r="F22" s="21" t="str">
        <f t="shared" si="0"/>
        <v/>
      </c>
    </row>
    <row r="23" spans="1:6" ht="37.9" customHeight="1" x14ac:dyDescent="0.2">
      <c r="A23" s="15">
        <v>16</v>
      </c>
      <c r="B23" s="12" t="s">
        <v>51</v>
      </c>
      <c r="C23" s="12" t="s">
        <v>52</v>
      </c>
      <c r="D23" s="12" t="s">
        <v>53</v>
      </c>
      <c r="E23" s="18"/>
      <c r="F23" s="21" t="str">
        <f t="shared" si="0"/>
        <v/>
      </c>
    </row>
    <row r="24" spans="1:6" ht="37.9" customHeight="1" x14ac:dyDescent="0.2">
      <c r="A24" s="15">
        <v>17</v>
      </c>
      <c r="B24" s="12" t="s">
        <v>51</v>
      </c>
      <c r="C24" s="12" t="s">
        <v>54</v>
      </c>
      <c r="D24" s="12" t="s">
        <v>55</v>
      </c>
      <c r="E24" s="18"/>
      <c r="F24" s="21" t="str">
        <f t="shared" si="0"/>
        <v/>
      </c>
    </row>
    <row r="25" spans="1:6" ht="37.9" customHeight="1" x14ac:dyDescent="0.2">
      <c r="A25" s="15">
        <v>18</v>
      </c>
      <c r="B25" s="12" t="s">
        <v>51</v>
      </c>
      <c r="C25" s="12" t="s">
        <v>56</v>
      </c>
      <c r="D25" s="12" t="s">
        <v>57</v>
      </c>
      <c r="E25" s="18"/>
      <c r="F25" s="21" t="str">
        <f t="shared" si="0"/>
        <v/>
      </c>
    </row>
    <row r="26" spans="1:6" ht="37.9" customHeight="1" x14ac:dyDescent="0.2">
      <c r="A26" s="15">
        <v>19</v>
      </c>
      <c r="B26" s="12" t="s">
        <v>51</v>
      </c>
      <c r="C26" s="12" t="s">
        <v>58</v>
      </c>
      <c r="D26" s="12" t="s">
        <v>59</v>
      </c>
      <c r="E26" s="18"/>
      <c r="F26" s="21" t="str">
        <f t="shared" si="0"/>
        <v/>
      </c>
    </row>
    <row r="27" spans="1:6" ht="37.9" customHeight="1" x14ac:dyDescent="0.2">
      <c r="A27" s="15">
        <v>20</v>
      </c>
      <c r="B27" s="12" t="s">
        <v>60</v>
      </c>
      <c r="C27" s="12" t="s">
        <v>61</v>
      </c>
      <c r="D27" s="12" t="s">
        <v>62</v>
      </c>
      <c r="E27" s="18"/>
      <c r="F27" s="21" t="str">
        <f t="shared" si="0"/>
        <v/>
      </c>
    </row>
    <row r="28" spans="1:6" ht="37.9" customHeight="1" x14ac:dyDescent="0.2">
      <c r="A28" s="15">
        <v>21</v>
      </c>
      <c r="B28" s="12" t="s">
        <v>60</v>
      </c>
      <c r="C28" s="12" t="s">
        <v>63</v>
      </c>
      <c r="D28" s="12" t="s">
        <v>64</v>
      </c>
      <c r="E28" s="18"/>
      <c r="F28" s="21" t="str">
        <f t="shared" si="0"/>
        <v/>
      </c>
    </row>
    <row r="29" spans="1:6" ht="37.9" customHeight="1" x14ac:dyDescent="0.2">
      <c r="A29" s="15">
        <v>22</v>
      </c>
      <c r="B29" s="12" t="s">
        <v>65</v>
      </c>
      <c r="C29" s="12" t="s">
        <v>66</v>
      </c>
      <c r="D29" s="12" t="s">
        <v>67</v>
      </c>
      <c r="E29" s="18"/>
      <c r="F29" s="21" t="str">
        <f t="shared" si="0"/>
        <v/>
      </c>
    </row>
    <row r="30" spans="1:6" ht="37.9" customHeight="1" x14ac:dyDescent="0.2">
      <c r="A30" s="15">
        <v>23</v>
      </c>
      <c r="B30" s="12" t="s">
        <v>65</v>
      </c>
      <c r="C30" s="12" t="s">
        <v>68</v>
      </c>
      <c r="D30" s="12" t="s">
        <v>69</v>
      </c>
      <c r="E30" s="18"/>
      <c r="F30" s="21" t="str">
        <f t="shared" si="0"/>
        <v/>
      </c>
    </row>
    <row r="31" spans="1:6" ht="37.9" customHeight="1" x14ac:dyDescent="0.2">
      <c r="A31" s="15">
        <v>24</v>
      </c>
      <c r="B31" s="12" t="s">
        <v>65</v>
      </c>
      <c r="C31" s="12" t="s">
        <v>70</v>
      </c>
      <c r="D31" s="12" t="s">
        <v>71</v>
      </c>
      <c r="E31" s="18"/>
      <c r="F31" s="21" t="str">
        <f t="shared" si="0"/>
        <v/>
      </c>
    </row>
    <row r="32" spans="1:6" ht="37.9" customHeight="1" x14ac:dyDescent="0.2">
      <c r="A32" s="15">
        <v>25</v>
      </c>
      <c r="B32" s="12" t="s">
        <v>72</v>
      </c>
      <c r="C32" s="12" t="s">
        <v>73</v>
      </c>
      <c r="D32" s="12" t="s">
        <v>74</v>
      </c>
      <c r="E32" s="18"/>
      <c r="F32" s="21" t="str">
        <f t="shared" si="0"/>
        <v/>
      </c>
    </row>
    <row r="33" spans="1:6" ht="37.9" customHeight="1" x14ac:dyDescent="0.2">
      <c r="A33" s="15">
        <v>26</v>
      </c>
      <c r="B33" s="12" t="s">
        <v>72</v>
      </c>
      <c r="C33" s="12" t="s">
        <v>75</v>
      </c>
      <c r="D33" s="12" t="s">
        <v>74</v>
      </c>
      <c r="E33" s="18"/>
      <c r="F33" s="21" t="str">
        <f t="shared" si="0"/>
        <v/>
      </c>
    </row>
    <row r="34" spans="1:6" ht="37.9" customHeight="1" x14ac:dyDescent="0.2">
      <c r="A34" s="15">
        <v>27</v>
      </c>
      <c r="B34" s="12" t="s">
        <v>76</v>
      </c>
      <c r="C34" s="12" t="s">
        <v>77</v>
      </c>
      <c r="D34" s="12" t="s">
        <v>78</v>
      </c>
      <c r="E34" s="18"/>
      <c r="F34" s="21" t="str">
        <f t="shared" si="0"/>
        <v/>
      </c>
    </row>
    <row r="35" spans="1:6" ht="37.9" customHeight="1" x14ac:dyDescent="0.2">
      <c r="A35" s="15">
        <v>28</v>
      </c>
      <c r="B35" s="12" t="s">
        <v>76</v>
      </c>
      <c r="C35" s="12" t="s">
        <v>79</v>
      </c>
      <c r="D35" s="12" t="s">
        <v>80</v>
      </c>
      <c r="E35" s="18"/>
      <c r="F35" s="21" t="str">
        <f t="shared" si="0"/>
        <v/>
      </c>
    </row>
    <row r="36" spans="1:6" ht="37.9" customHeight="1" x14ac:dyDescent="0.2">
      <c r="A36" s="15">
        <v>29</v>
      </c>
      <c r="B36" s="12" t="s">
        <v>76</v>
      </c>
      <c r="C36" s="12" t="s">
        <v>81</v>
      </c>
      <c r="D36" s="12" t="s">
        <v>82</v>
      </c>
      <c r="E36" s="18"/>
      <c r="F36" s="21" t="str">
        <f t="shared" si="0"/>
        <v/>
      </c>
    </row>
    <row r="37" spans="1:6" ht="37.9" customHeight="1" x14ac:dyDescent="0.2">
      <c r="A37" s="16">
        <v>30</v>
      </c>
      <c r="B37" s="13" t="s">
        <v>76</v>
      </c>
      <c r="C37" s="13" t="s">
        <v>83</v>
      </c>
      <c r="D37" s="13" t="s">
        <v>84</v>
      </c>
      <c r="E37" s="19"/>
      <c r="F37" s="22" t="str">
        <f t="shared" si="0"/>
        <v/>
      </c>
    </row>
  </sheetData>
  <mergeCells count="6">
    <mergeCell ref="B5:F5"/>
    <mergeCell ref="A6:F6"/>
    <mergeCell ref="A1:F1"/>
    <mergeCell ref="A2:F2"/>
    <mergeCell ref="B3:D3"/>
    <mergeCell ref="B4:D4"/>
  </mergeCells>
  <conditionalFormatting sqref="E8:E37">
    <cfRule type="containsText" dxfId="10" priority="1" operator="containsText" text="CF"/>
    <cfRule type="containsText" dxfId="9" priority="2" operator="containsText" text="NC"/>
    <cfRule type="containsText" dxfId="8" priority="3" operator="containsText" text="N/A"/>
  </conditionalFormatting>
  <conditionalFormatting sqref="F8:F37">
    <cfRule type="expression" dxfId="7" priority="4">
      <formula>AND($E8="CF",$F8=1)</formula>
    </cfRule>
    <cfRule type="expression" dxfId="6" priority="5">
      <formula>AND($E8="NC",$F8=0)</formula>
    </cfRule>
  </conditionalFormatting>
  <dataValidations count="1">
    <dataValidation type="list" sqref="E8:E37" xr:uid="{00000000-0002-0000-0000-000000000000}">
      <formula1>"CF,NC,N/A"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showGridLines="0" zoomScale="63" workbookViewId="0">
      <selection activeCell="A4" sqref="A4:B4"/>
    </sheetView>
  </sheetViews>
  <sheetFormatPr defaultRowHeight="14.25" x14ac:dyDescent="0.2"/>
  <cols>
    <col min="1" max="1" width="25" customWidth="1"/>
    <col min="2" max="2" width="18" customWidth="1"/>
    <col min="3" max="3" width="34" customWidth="1"/>
    <col min="4" max="4" width="18" customWidth="1"/>
    <col min="5" max="5" width="44" customWidth="1"/>
    <col min="6" max="7" width="3" customWidth="1"/>
    <col min="8" max="9" width="18" customWidth="1"/>
    <col min="10" max="10" width="15" customWidth="1"/>
    <col min="11" max="11" width="52" customWidth="1"/>
  </cols>
  <sheetData>
    <row r="1" spans="1:11" ht="30" customHeight="1" x14ac:dyDescent="0.2">
      <c r="A1" s="65" t="s">
        <v>88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21" customHeight="1" x14ac:dyDescent="0.2">
      <c r="A2" s="66" t="s">
        <v>89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2.9" customHeight="1" x14ac:dyDescent="0.2">
      <c r="A4" s="74" t="s">
        <v>90</v>
      </c>
      <c r="B4" s="74"/>
      <c r="C4" s="10"/>
      <c r="D4" s="74" t="s">
        <v>91</v>
      </c>
      <c r="E4" s="74"/>
      <c r="F4" s="10"/>
      <c r="G4" s="10"/>
      <c r="H4" s="74" t="s">
        <v>92</v>
      </c>
      <c r="I4" s="74"/>
      <c r="J4" s="74"/>
      <c r="K4" s="74"/>
    </row>
    <row r="5" spans="1:11" ht="34.15" customHeight="1" x14ac:dyDescent="0.2">
      <c r="A5" s="23" t="s">
        <v>93</v>
      </c>
      <c r="B5" s="26">
        <f>COUNTA(Checklist!A8:A37)</f>
        <v>30</v>
      </c>
      <c r="C5" s="10"/>
      <c r="D5" s="7" t="s">
        <v>94</v>
      </c>
      <c r="E5" s="9" t="s">
        <v>95</v>
      </c>
      <c r="F5" s="10"/>
      <c r="G5" s="10"/>
      <c r="H5" s="7" t="s">
        <v>85</v>
      </c>
      <c r="I5" s="8" t="s">
        <v>86</v>
      </c>
      <c r="J5" s="8" t="s">
        <v>87</v>
      </c>
      <c r="K5" s="9" t="s">
        <v>96</v>
      </c>
    </row>
    <row r="6" spans="1:11" ht="42" customHeight="1" x14ac:dyDescent="0.2">
      <c r="A6" s="24" t="s">
        <v>97</v>
      </c>
      <c r="B6" s="27">
        <f>COUNTIF(Checklist!E8:E37,"CF")+COUNTIF(Checklist!E8:E37,"NC")</f>
        <v>0</v>
      </c>
      <c r="C6" s="10"/>
      <c r="D6" s="30" t="s">
        <v>98</v>
      </c>
      <c r="E6" s="4" t="s">
        <v>99</v>
      </c>
      <c r="F6" s="10"/>
      <c r="G6" s="10"/>
      <c r="H6" s="36" t="s">
        <v>100</v>
      </c>
      <c r="I6" s="37" t="s">
        <v>101</v>
      </c>
      <c r="J6" s="38">
        <v>30</v>
      </c>
      <c r="K6" s="39" t="s">
        <v>102</v>
      </c>
    </row>
    <row r="7" spans="1:11" ht="42" customHeight="1" x14ac:dyDescent="0.2">
      <c r="A7" s="24" t="s">
        <v>103</v>
      </c>
      <c r="B7" s="27">
        <f>COUNTIF(Checklist!E8:E37,"CF")</f>
        <v>0</v>
      </c>
      <c r="C7" s="10"/>
      <c r="D7" s="31" t="s">
        <v>104</v>
      </c>
      <c r="E7" s="5" t="s">
        <v>105</v>
      </c>
      <c r="F7" s="10"/>
      <c r="G7" s="10"/>
      <c r="H7" s="40" t="s">
        <v>106</v>
      </c>
      <c r="I7" s="41" t="s">
        <v>107</v>
      </c>
      <c r="J7" s="42">
        <v>45</v>
      </c>
      <c r="K7" s="43" t="s">
        <v>108</v>
      </c>
    </row>
    <row r="8" spans="1:11" ht="42" customHeight="1" x14ac:dyDescent="0.2">
      <c r="A8" s="24" t="s">
        <v>109</v>
      </c>
      <c r="B8" s="27">
        <f>COUNTIF(Checklist!E8:E37,"NC")</f>
        <v>0</v>
      </c>
      <c r="C8" s="10"/>
      <c r="D8" s="32" t="s">
        <v>110</v>
      </c>
      <c r="E8" s="6" t="s">
        <v>111</v>
      </c>
      <c r="F8" s="10"/>
      <c r="G8" s="10"/>
      <c r="H8" s="44" t="s">
        <v>112</v>
      </c>
      <c r="I8" s="45" t="s">
        <v>113</v>
      </c>
      <c r="J8" s="46">
        <v>60</v>
      </c>
      <c r="K8" s="47" t="s">
        <v>114</v>
      </c>
    </row>
    <row r="9" spans="1:11" x14ac:dyDescent="0.2">
      <c r="A9" s="24" t="s">
        <v>115</v>
      </c>
      <c r="B9" s="27">
        <f>COUNTIF(Checklist!E8:E37,"N/A")</f>
        <v>0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24" t="s">
        <v>116</v>
      </c>
      <c r="B10" s="27">
        <f>COUNTBLANK(Checklist!E8:E37)</f>
        <v>30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24" t="s">
        <v>117</v>
      </c>
      <c r="B11" s="29" t="str">
        <f>IF((B7+B8)=0,"",B7/(B7+B8))</f>
        <v/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9" customHeight="1" x14ac:dyDescent="0.2">
      <c r="A12" s="25" t="s">
        <v>118</v>
      </c>
      <c r="B12" s="28" t="str">
        <f>IF(B11="","Pendente",IF(B11&lt;=60%,"Baixa aderência",IF(B11&lt;=90%,"Aderência parcial","Alta aderência")))</f>
        <v>Pendente</v>
      </c>
      <c r="C12" s="10"/>
      <c r="D12" s="10"/>
      <c r="E12" s="10"/>
      <c r="F12" s="10"/>
      <c r="G12" s="10"/>
      <c r="H12" s="73" t="s">
        <v>119</v>
      </c>
      <c r="I12" s="73"/>
      <c r="J12" s="73"/>
    </row>
    <row r="13" spans="1:11" ht="34.15" customHeight="1" x14ac:dyDescent="0.2">
      <c r="A13" s="10"/>
      <c r="B13" s="10"/>
      <c r="C13" s="10"/>
      <c r="D13" s="10"/>
      <c r="E13" s="10"/>
      <c r="F13" s="10"/>
      <c r="G13" s="10"/>
      <c r="H13" s="7" t="s">
        <v>120</v>
      </c>
      <c r="I13" s="8" t="s">
        <v>121</v>
      </c>
      <c r="J13" s="9" t="s">
        <v>122</v>
      </c>
      <c r="K13" s="10"/>
    </row>
    <row r="14" spans="1:11" ht="36" x14ac:dyDescent="0.2">
      <c r="A14" s="10"/>
      <c r="B14" s="10"/>
      <c r="C14" s="10"/>
      <c r="D14" s="10"/>
      <c r="E14" s="10"/>
      <c r="F14" s="10"/>
      <c r="G14" s="10"/>
      <c r="H14" s="55" t="s">
        <v>123</v>
      </c>
      <c r="I14" s="33" t="e">
        <f>COUNTIFS(#REF!,"NC",#REF!,"&lt;&gt;")</f>
        <v>#REF!</v>
      </c>
      <c r="J14" s="4" t="s">
        <v>124</v>
      </c>
      <c r="K14" s="10"/>
    </row>
    <row r="15" spans="1:11" ht="22.9" customHeight="1" x14ac:dyDescent="0.2">
      <c r="A15" s="74" t="s">
        <v>125</v>
      </c>
      <c r="B15" s="74"/>
      <c r="C15" s="74"/>
      <c r="D15" s="74"/>
      <c r="E15" s="74"/>
      <c r="F15" s="10"/>
      <c r="G15" s="10"/>
      <c r="H15" s="56" t="s">
        <v>126</v>
      </c>
      <c r="I15" s="34" t="e">
        <f>COUNTIF(#REF!,"Aberta")</f>
        <v>#REF!</v>
      </c>
      <c r="J15" s="5" t="s">
        <v>127</v>
      </c>
      <c r="K15" s="10"/>
    </row>
    <row r="16" spans="1:11" ht="34.15" customHeight="1" x14ac:dyDescent="0.2">
      <c r="A16" s="7" t="s">
        <v>128</v>
      </c>
      <c r="B16" s="8" t="s">
        <v>129</v>
      </c>
      <c r="C16" s="8" t="s">
        <v>130</v>
      </c>
      <c r="D16" s="8" t="s">
        <v>131</v>
      </c>
      <c r="E16" s="9" t="s">
        <v>132</v>
      </c>
      <c r="F16" s="10"/>
      <c r="G16" s="10"/>
      <c r="H16" s="56" t="s">
        <v>133</v>
      </c>
      <c r="I16" s="34" t="e">
        <f>COUNTIF(#REF!,"Em correção")</f>
        <v>#REF!</v>
      </c>
      <c r="J16" s="5" t="s">
        <v>134</v>
      </c>
      <c r="K16" s="10"/>
    </row>
    <row r="17" spans="1:11" ht="37.9" customHeight="1" x14ac:dyDescent="0.2">
      <c r="A17" s="36" t="s">
        <v>135</v>
      </c>
      <c r="B17" s="48" t="s">
        <v>136</v>
      </c>
      <c r="C17" s="48" t="s">
        <v>137</v>
      </c>
      <c r="D17" s="48" t="s">
        <v>138</v>
      </c>
      <c r="E17" s="39" t="s">
        <v>139</v>
      </c>
      <c r="F17" s="10"/>
      <c r="G17" s="10"/>
      <c r="H17" s="56" t="s">
        <v>140</v>
      </c>
      <c r="I17" s="34" t="e">
        <f>COUNTIF(#REF!,"Resolvida")</f>
        <v>#REF!</v>
      </c>
      <c r="J17" s="5" t="s">
        <v>141</v>
      </c>
      <c r="K17" s="10"/>
    </row>
    <row r="18" spans="1:11" ht="37.9" customHeight="1" x14ac:dyDescent="0.2">
      <c r="A18" s="49" t="s">
        <v>142</v>
      </c>
      <c r="B18" s="50" t="s">
        <v>143</v>
      </c>
      <c r="C18" s="50" t="s">
        <v>144</v>
      </c>
      <c r="D18" s="50" t="s">
        <v>145</v>
      </c>
      <c r="E18" s="51" t="s">
        <v>146</v>
      </c>
      <c r="F18" s="10"/>
      <c r="G18" s="10"/>
      <c r="H18" s="57" t="s">
        <v>147</v>
      </c>
      <c r="I18" s="35" t="e">
        <f>COUNTIF(#REF!,"Escalonada")</f>
        <v>#REF!</v>
      </c>
      <c r="J18" s="6" t="s">
        <v>148</v>
      </c>
      <c r="K18" s="10"/>
    </row>
    <row r="19" spans="1:11" ht="37.9" customHeight="1" x14ac:dyDescent="0.2">
      <c r="A19" s="52" t="s">
        <v>149</v>
      </c>
      <c r="B19" s="53" t="s">
        <v>150</v>
      </c>
      <c r="C19" s="53" t="s">
        <v>151</v>
      </c>
      <c r="D19" s="53" t="s">
        <v>152</v>
      </c>
      <c r="E19" s="54" t="s">
        <v>153</v>
      </c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7">
    <mergeCell ref="H12:J12"/>
    <mergeCell ref="A15:E15"/>
    <mergeCell ref="A1:K1"/>
    <mergeCell ref="A2:K2"/>
    <mergeCell ref="A4:B4"/>
    <mergeCell ref="D4:E4"/>
    <mergeCell ref="H4:K4"/>
  </mergeCells>
  <conditionalFormatting sqref="B11">
    <cfRule type="expression" dxfId="5" priority="1">
      <formula>AND(ISNUMBER($B$11),$B$11&lt;=60%)</formula>
    </cfRule>
    <cfRule type="expression" dxfId="4" priority="2">
      <formula>AND(ISNUMBER($B$11),$B$11&gt;60%,$B$11&lt;=90%)</formula>
    </cfRule>
    <cfRule type="expression" dxfId="3" priority="3">
      <formula>AND(ISNUMBER($B$11),$B$11&gt;90%)</formula>
    </cfRule>
  </conditionalFormatting>
  <conditionalFormatting sqref="D6:E8">
    <cfRule type="expression" dxfId="2" priority="4">
      <formula>ROW()=6</formula>
    </cfRule>
    <cfRule type="expression" dxfId="1" priority="5">
      <formula>ROW()=7</formula>
    </cfRule>
    <cfRule type="expression" dxfId="0" priority="6">
      <formula>ROW()=8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Resumo e 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Afonso Braga Plentz</cp:lastModifiedBy>
  <dcterms:created xsi:type="dcterms:W3CDTF">2026-09-01T15:23:21Z</dcterms:created>
  <dcterms:modified xsi:type="dcterms:W3CDTF">2026-09-12T13:50:08Z</dcterms:modified>
</cp:coreProperties>
</file>