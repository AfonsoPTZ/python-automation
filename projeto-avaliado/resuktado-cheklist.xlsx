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pucpredu-my.sharepoint.com/personal/lucas_alfaro_pucpr_edu_br/Documents/"/>
    </mc:Choice>
  </mc:AlternateContent>
  <xr:revisionPtr revIDLastSave="0" documentId="8_{BF04938A-BCD5-4CF2-955D-6B52CAC3C7F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hecklist" sheetId="1" r:id="rId1"/>
    <sheet name="Controle de NC" sheetId="2" r:id="rId2"/>
    <sheet name="Resumo e Regra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0" i="1"/>
  <c r="F9" i="1"/>
  <c r="F8" i="1"/>
  <c r="K6" i="2"/>
  <c r="I18" i="3"/>
  <c r="I17" i="3"/>
  <c r="I16" i="3"/>
  <c r="I15" i="3"/>
  <c r="B10" i="3"/>
  <c r="B9" i="3"/>
  <c r="B8" i="3"/>
  <c r="B7" i="3"/>
  <c r="B6" i="3"/>
  <c r="B5" i="3"/>
  <c r="D35" i="2"/>
  <c r="J35" i="2" s="1"/>
  <c r="K35" i="2" s="1"/>
  <c r="C35" i="2"/>
  <c r="B35" i="2"/>
  <c r="A35" i="2"/>
  <c r="D34" i="2"/>
  <c r="C34" i="2"/>
  <c r="B34" i="2"/>
  <c r="A34" i="2"/>
  <c r="D33" i="2"/>
  <c r="C33" i="2"/>
  <c r="B33" i="2"/>
  <c r="A33" i="2"/>
  <c r="D32" i="2"/>
  <c r="H32" i="2" s="1"/>
  <c r="C32" i="2"/>
  <c r="B32" i="2"/>
  <c r="A32" i="2"/>
  <c r="D31" i="2"/>
  <c r="C31" i="2"/>
  <c r="B31" i="2"/>
  <c r="A31" i="2"/>
  <c r="D30" i="2"/>
  <c r="H30" i="2" s="1"/>
  <c r="C30" i="2"/>
  <c r="B30" i="2"/>
  <c r="A30" i="2"/>
  <c r="D29" i="2"/>
  <c r="C29" i="2"/>
  <c r="B29" i="2"/>
  <c r="A29" i="2"/>
  <c r="D28" i="2"/>
  <c r="J28" i="2" s="1"/>
  <c r="K28" i="2" s="1"/>
  <c r="C28" i="2"/>
  <c r="B28" i="2"/>
  <c r="A28" i="2"/>
  <c r="D27" i="2"/>
  <c r="J27" i="2" s="1"/>
  <c r="K27" i="2" s="1"/>
  <c r="C27" i="2"/>
  <c r="B27" i="2"/>
  <c r="A27" i="2"/>
  <c r="D26" i="2"/>
  <c r="C26" i="2"/>
  <c r="B26" i="2"/>
  <c r="A26" i="2"/>
  <c r="D25" i="2"/>
  <c r="H25" i="2" s="1"/>
  <c r="C25" i="2"/>
  <c r="B25" i="2"/>
  <c r="A25" i="2"/>
  <c r="D24" i="2"/>
  <c r="C24" i="2"/>
  <c r="B24" i="2"/>
  <c r="A24" i="2"/>
  <c r="D23" i="2"/>
  <c r="J23" i="2" s="1"/>
  <c r="K23" i="2" s="1"/>
  <c r="C23" i="2"/>
  <c r="B23" i="2"/>
  <c r="A23" i="2"/>
  <c r="D22" i="2"/>
  <c r="C22" i="2"/>
  <c r="B22" i="2"/>
  <c r="A22" i="2"/>
  <c r="D21" i="2"/>
  <c r="C21" i="2"/>
  <c r="B21" i="2"/>
  <c r="A21" i="2"/>
  <c r="D20" i="2"/>
  <c r="H20" i="2" s="1"/>
  <c r="C20" i="2"/>
  <c r="B20" i="2"/>
  <c r="A20" i="2"/>
  <c r="D19" i="2"/>
  <c r="J19" i="2" s="1"/>
  <c r="K19" i="2" s="1"/>
  <c r="C19" i="2"/>
  <c r="B19" i="2"/>
  <c r="A19" i="2"/>
  <c r="D18" i="2"/>
  <c r="J18" i="2" s="1"/>
  <c r="K18" i="2" s="1"/>
  <c r="C18" i="2"/>
  <c r="B18" i="2"/>
  <c r="A18" i="2"/>
  <c r="D17" i="2"/>
  <c r="C17" i="2"/>
  <c r="B17" i="2"/>
  <c r="A17" i="2"/>
  <c r="D16" i="2"/>
  <c r="H16" i="2" s="1"/>
  <c r="C16" i="2"/>
  <c r="B16" i="2"/>
  <c r="A16" i="2"/>
  <c r="D15" i="2"/>
  <c r="C15" i="2"/>
  <c r="B15" i="2"/>
  <c r="A15" i="2"/>
  <c r="D14" i="2"/>
  <c r="C14" i="2"/>
  <c r="B14" i="2"/>
  <c r="A14" i="2"/>
  <c r="D13" i="2"/>
  <c r="H13" i="2" s="1"/>
  <c r="C13" i="2"/>
  <c r="B13" i="2"/>
  <c r="A13" i="2"/>
  <c r="D12" i="2"/>
  <c r="C12" i="2"/>
  <c r="B12" i="2"/>
  <c r="A12" i="2"/>
  <c r="D11" i="2"/>
  <c r="J11" i="2" s="1"/>
  <c r="K11" i="2" s="1"/>
  <c r="C11" i="2"/>
  <c r="B11" i="2"/>
  <c r="A11" i="2"/>
  <c r="D10" i="2"/>
  <c r="C10" i="2"/>
  <c r="B10" i="2"/>
  <c r="A10" i="2"/>
  <c r="D9" i="2"/>
  <c r="C9" i="2"/>
  <c r="B9" i="2"/>
  <c r="A9" i="2"/>
  <c r="D8" i="2"/>
  <c r="H8" i="2" s="1"/>
  <c r="C8" i="2"/>
  <c r="B8" i="2"/>
  <c r="A8" i="2"/>
  <c r="D7" i="2"/>
  <c r="C7" i="2"/>
  <c r="B7" i="2"/>
  <c r="A7" i="2"/>
  <c r="D6" i="2"/>
  <c r="H6" i="2" s="1"/>
  <c r="C6" i="2"/>
  <c r="B6" i="2"/>
  <c r="A6" i="2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J31" i="2" l="1"/>
  <c r="K31" i="2" s="1"/>
  <c r="H31" i="2"/>
  <c r="J34" i="2"/>
  <c r="K34" i="2" s="1"/>
  <c r="H34" i="2"/>
  <c r="J33" i="2"/>
  <c r="K33" i="2" s="1"/>
  <c r="H33" i="2"/>
  <c r="H29" i="2"/>
  <c r="J29" i="2"/>
  <c r="K29" i="2" s="1"/>
  <c r="H26" i="2"/>
  <c r="J26" i="2"/>
  <c r="K26" i="2" s="1"/>
  <c r="J22" i="2"/>
  <c r="K22" i="2" s="1"/>
  <c r="H22" i="2"/>
  <c r="J21" i="2"/>
  <c r="K21" i="2" s="1"/>
  <c r="H21" i="2"/>
  <c r="H17" i="2"/>
  <c r="J17" i="2"/>
  <c r="K17" i="2" s="1"/>
  <c r="H14" i="2"/>
  <c r="J14" i="2"/>
  <c r="K14" i="2" s="1"/>
  <c r="J12" i="2"/>
  <c r="K12" i="2" s="1"/>
  <c r="H12" i="2"/>
  <c r="J7" i="2"/>
  <c r="K7" i="2" s="1"/>
  <c r="J24" i="2"/>
  <c r="K24" i="2" s="1"/>
  <c r="H24" i="2"/>
  <c r="J10" i="2"/>
  <c r="K10" i="2" s="1"/>
  <c r="H10" i="2"/>
  <c r="J9" i="2"/>
  <c r="K9" i="2" s="1"/>
  <c r="H9" i="2"/>
  <c r="I14" i="3"/>
  <c r="B11" i="3"/>
  <c r="B12" i="3" s="1"/>
  <c r="J25" i="2"/>
  <c r="K25" i="2" s="1"/>
  <c r="J8" i="2"/>
  <c r="K8" i="2" s="1"/>
  <c r="H15" i="2"/>
  <c r="J20" i="2"/>
  <c r="K20" i="2" s="1"/>
  <c r="H27" i="2"/>
  <c r="J32" i="2"/>
  <c r="K32" i="2" s="1"/>
  <c r="J13" i="2"/>
  <c r="K13" i="2" s="1"/>
  <c r="J15" i="2"/>
  <c r="K15" i="2" s="1"/>
  <c r="H28" i="2"/>
  <c r="J30" i="2"/>
  <c r="K30" i="2" s="1"/>
  <c r="H11" i="2"/>
  <c r="J16" i="2"/>
  <c r="K16" i="2" s="1"/>
  <c r="H23" i="2"/>
  <c r="H35" i="2"/>
  <c r="H18" i="2"/>
  <c r="H7" i="2"/>
  <c r="H19" i="2"/>
</calcChain>
</file>

<file path=xl/sharedStrings.xml><?xml version="1.0" encoding="utf-8"?>
<sst xmlns="http://schemas.openxmlformats.org/spreadsheetml/2006/main" count="249" uniqueCount="176">
  <si>
    <t>CHECKLIST DE AVALIAÇÃO — RELATÓRIO DE TESTE DE USABILIDADE</t>
  </si>
  <si>
    <t>Auditoria documental | Disciplina de Qualidade de Software | Versão do checklist 1.2</t>
  </si>
  <si>
    <t>Artefato avaliado</t>
  </si>
  <si>
    <t>RA1_TesteDeUsabilidade1.pdf</t>
  </si>
  <si>
    <t>Sistema</t>
  </si>
  <si>
    <t>GitHub Web</t>
  </si>
  <si>
    <t>Equipe avaliada</t>
  </si>
  <si>
    <t>Christopher Paterno; Ronald Lipski; Gustavo Isdra; Bernardo Roche</t>
  </si>
  <si>
    <t>Data da avaliação</t>
  </si>
  <si>
    <t>Equipe avaliadora</t>
  </si>
  <si>
    <t>Afonso Braga Plentz; Giovana Fernandes Alves Martins; Gustavo Campos Souza; Lucas Gabriel Alfaro da Silva</t>
  </si>
  <si>
    <t>Como usar: selecione CF, NC ou N/A em cada critério. A aderência considera apenas os itens avaliáveis: CF ÷ (CF + NC). Registre a evidência observada antes de encaminhar uma NC para correção.</t>
  </si>
  <si>
    <t>Nº</t>
  </si>
  <si>
    <t>Seção</t>
  </si>
  <si>
    <t>Critério de avaliação</t>
  </si>
  <si>
    <t>Evidência esperada</t>
  </si>
  <si>
    <t>Resultado</t>
  </si>
  <si>
    <t>% de aderência</t>
  </si>
  <si>
    <t>Evidência observada / observação</t>
  </si>
  <si>
    <t>Introdução e contexto</t>
  </si>
  <si>
    <t>O contexto caracteriza o sistema web avaliado?</t>
  </si>
  <si>
    <t>Nome, finalidade, endereço eletrônico e público-alvo registrados no contexto.</t>
  </si>
  <si>
    <t>CF</t>
  </si>
  <si>
    <t>A justificativa para a escolha do sistema foi apresentada?</t>
  </si>
  <si>
    <t>Justificativa registrada na introdução.</t>
  </si>
  <si>
    <t>NC</t>
  </si>
  <si>
    <t>Os objetivos específicos do teste foram descritos?</t>
  </si>
  <si>
    <t>Objetivos verificáveis registrados na introdução.</t>
  </si>
  <si>
    <t>O aspecto de qualidade avaliado foi identificado?</t>
  </si>
  <si>
    <t>Menção explícita à usabilidade como aspecto de qualidade.</t>
  </si>
  <si>
    <t>Metodologia e planejamento</t>
  </si>
  <si>
    <t>As tarefas planejadas para os participantes foram listadas?</t>
  </si>
  <si>
    <t>Relação das tarefas previstas para o teste.</t>
  </si>
  <si>
    <t>Cada tarefa indica uma heurística de Nielsen?</t>
  </si>
  <si>
    <t>Heurística associada a cada tarefa planejada.</t>
  </si>
  <si>
    <t>Cada tarefa possui um cenário de uso definido?</t>
  </si>
  <si>
    <t>Ação do participante descrita em cada tarefa.</t>
  </si>
  <si>
    <t>Cada tarefa identifica a interface avaliada?</t>
  </si>
  <si>
    <t>Tela, página ou componente associado a cada tarefa.</t>
  </si>
  <si>
    <t>A aplicação da técnica de caixa preta foi explicada?</t>
  </si>
  <si>
    <t>Descrição de como o comportamento externo do sistema foi observado.</t>
  </si>
  <si>
    <t>A relevância da técnica de caixa preta para o teste foi justificada?</t>
  </si>
  <si>
    <t>Relação entre a técnica e a avaliação de usabilidade.</t>
  </si>
  <si>
    <t>Os recursos utilizados no teste foram identificados?</t>
  </si>
  <si>
    <t>Ferramentas, dispositivos ou materiais de registro listados.</t>
  </si>
  <si>
    <t>Execução do teste</t>
  </si>
  <si>
    <t>O processo de execução do teste foi descrito?</t>
  </si>
  <si>
    <t>Sequência adotada para aplicação das tarefas.</t>
  </si>
  <si>
    <t>Cada tarefa planejada possui um resultado registrado?</t>
  </si>
  <si>
    <t>Resultado associado a cada tarefa do planejamento.</t>
  </si>
  <si>
    <t>Cada tarefa executada possui uma evidência verificável?</t>
  </si>
  <si>
    <t>Captura, registro, link ou referência associado à tarefa.</t>
  </si>
  <si>
    <t>Cada evidência sustenta o resultado atribuído à tarefa?</t>
  </si>
  <si>
    <t>Correspondência entre evidência, comportamento observado e resultado.</t>
  </si>
  <si>
    <t>Análise de usabilidade</t>
  </si>
  <si>
    <t>A análise contempla as dez heurísticas de Nielsen?</t>
  </si>
  <si>
    <t>Resultados identificáveis para as heurísticas 1 a 10.</t>
  </si>
  <si>
    <t>Os achados da análise são rastreáveis aos testes executados?</t>
  </si>
  <si>
    <t>Referências aos casos de teste e às evidências da execução.</t>
  </si>
  <si>
    <t>Os problemas de maior impacto foram identificados?</t>
  </si>
  <si>
    <t>Lista ou destaque dos problemas prioritários.</t>
  </si>
  <si>
    <t>Cada problema de maior impacto possui uma classificação?</t>
  </si>
  <si>
    <t>Classificação associada a cada problema destacado.</t>
  </si>
  <si>
    <t>Conclusão e recomendações</t>
  </si>
  <si>
    <t>A conclusão sintetiza a avaliação geral da qualidade do sistema?</t>
  </si>
  <si>
    <t>Síntese compatível com os resultados da execução e da análise.</t>
  </si>
  <si>
    <t>As recomendações decorrem dos problemas identificados?</t>
  </si>
  <si>
    <t>Recomendação vinculada a um achado do teste.</t>
  </si>
  <si>
    <t>Checklist do processo</t>
  </si>
  <si>
    <t>O checklist registra as etapas previstas do processo de teste?</t>
  </si>
  <si>
    <t>Registros de planejamento, preparação, execução, análise e revisão.</t>
  </si>
  <si>
    <t>O responsável pela aplicação do checklist foi identificado?</t>
  </si>
  <si>
    <t>Nome do aplicador do checklist.</t>
  </si>
  <si>
    <t>O responsável pela revisão do checklist foi identificado?</t>
  </si>
  <si>
    <t>Nome do revisor do checklist.</t>
  </si>
  <si>
    <t>Referências</t>
  </si>
  <si>
    <t>A fonte utilizada para as heurísticas de Nielsen foi citada?</t>
  </si>
  <si>
    <t>Referência bibliográfica ou endereço eletrônico.</t>
  </si>
  <si>
    <t>A fonte utilizada para a técnica de caixa preta foi citada?</t>
  </si>
  <si>
    <t>Consistência documental</t>
  </si>
  <si>
    <t>A estrutura do documento segue a ordem definida no template?</t>
  </si>
  <si>
    <t>Sequência de seções comparável ao template fornecido.</t>
  </si>
  <si>
    <t>Os textos de orientação do template foram removidos da versão avaliada?</t>
  </si>
  <si>
    <t>Ausência de instruções e marcadores de preenchimento.</t>
  </si>
  <si>
    <t>Os identificadores das tarefas coincidem entre planejamento e execução?</t>
  </si>
  <si>
    <t>Mesmos códigos ou referências nas duas seções.</t>
  </si>
  <si>
    <t>Os quantitativos apresentados na análise coincidem com os resultados da execução?</t>
  </si>
  <si>
    <t>Totais e percentuais reconciliados com as tarefas executadas.</t>
  </si>
  <si>
    <t>CONTROLE DE NÃO CONFORMIDADES — CORREÇÃO E REINSPEÇÃO</t>
  </si>
  <si>
    <t>Os critérios e resultados são vinculados à aba Checklist. Preencha o controle somente para itens classificados como NC.</t>
  </si>
  <si>
    <t>Fluxo sugerido: NC identificada → responsável definido → ação corretiva → correção dentro do prazo → reinspeção → resolução ou escalonamento.</t>
  </si>
  <si>
    <t>Critério</t>
  </si>
  <si>
    <t>Data/hora da identificação</t>
  </si>
  <si>
    <t>Responsável pela resolução</t>
  </si>
  <si>
    <t>Classificação</t>
  </si>
  <si>
    <t>Prioridade</t>
  </si>
  <si>
    <t>Ação corretiva indicada</t>
  </si>
  <si>
    <t>Prazo (min)</t>
  </si>
  <si>
    <t>Data/hora prevista</t>
  </si>
  <si>
    <t>Data/hora do escalonamento</t>
  </si>
  <si>
    <t>Data/hora da conclusão</t>
  </si>
  <si>
    <t>Status da NC</t>
  </si>
  <si>
    <t>Média</t>
  </si>
  <si>
    <t>A introdução apresenta as características do sistema, mas omite a justificativa de por que ele foi escolhido para o teste, conforme o template exige.</t>
  </si>
  <si>
    <t>Aberta</t>
  </si>
  <si>
    <t>Baixa</t>
  </si>
  <si>
    <t>Está indicando que "serão considerados apenas as ações do participante e os resultados", mas não inserem a relevância dessa escolha para o objetivo geral de usabilidade.</t>
  </si>
  <si>
    <t>A Seção 3 não inclui "imagens que evidenciem os testes", como exige expressamente o template. Eles inseriram links em formato de texto, não prints das telas.</t>
  </si>
  <si>
    <t>Escalonada</t>
  </si>
  <si>
    <t>Alta</t>
  </si>
  <si>
    <t>Não há o nome de quem aplicou o checklist na Seção 6.</t>
  </si>
  <si>
    <t>Não há o nome de quem revisou o checklist na Seção 6.</t>
  </si>
  <si>
    <t>As referências cobrem o Nielsen e o GitHub, mas não incluem referências de técnicas de testes de usabilidade (Caixa Preta).</t>
  </si>
  <si>
    <t>Na seção 1.1 "Contexto do Projeto", o endereço web não foi fornecido. Além disso, em alguns pontos (como entre CT37 e CT38 e em CT17 e CT18), a formatação da tabela desconfigurou (células quebradas/em branco)</t>
  </si>
  <si>
    <t>No Planejamento (item 2.1) os testes não possuem um identificador (código). Na Execução (item 3.1) eles "surgem" do CT01 ao CT40, impossibilitando uma ligação direta 1:1 clara (já que algumas heurísticas se repetem ou apontam para múltiplas linhas).</t>
  </si>
  <si>
    <t>RESUMO DA AVALIAÇÃO E REGRAS DE TRATAMENTO</t>
  </si>
  <si>
    <t>Indicadores calculados a partir da aba Checklist | Prazos de correção definidos em minutos</t>
  </si>
  <si>
    <t>INDICADORES DE ADERÊNCIA</t>
  </si>
  <si>
    <t>FAIXAS DE ADERÊNCIA</t>
  </si>
  <si>
    <t>CLASSIFICAÇÃO, PRIORIDADE E PRAZO DE CORREÇÃO</t>
  </si>
  <si>
    <t>Total de critérios</t>
  </si>
  <si>
    <t>Faixa</t>
  </si>
  <si>
    <t>Interpretação</t>
  </si>
  <si>
    <t>Critério de enquadramento</t>
  </si>
  <si>
    <t>Itens avaliados (CF + NC)</t>
  </si>
  <si>
    <t>0% a 60%</t>
  </si>
  <si>
    <t>Baixa aderência — revisar o artefato antes da aprovação.</t>
  </si>
  <si>
    <t>P3 — Baixa</t>
  </si>
  <si>
    <t>Ajuste localizado de apresentação, padronização ou informação complementar.</t>
  </si>
  <si>
    <t>Em conformidade (CF)</t>
  </si>
  <si>
    <t>&gt;60% a 90%</t>
  </si>
  <si>
    <t>Aderência parcial — corrigir as NC antes da aprovação.</t>
  </si>
  <si>
    <t>P2 — Média</t>
  </si>
  <si>
    <t>Reduz clareza, rastreabilidade ou completude, sem invalidar o resultado principal.</t>
  </si>
  <si>
    <t>Não conformidades (NC)</t>
  </si>
  <si>
    <t>&gt;90% a 100%</t>
  </si>
  <si>
    <t>Alta aderência — tratar as NC remanescentes.</t>
  </si>
  <si>
    <t>P1 — Alta</t>
  </si>
  <si>
    <t>Compromete requisito obrigatório, conclusão relevante ou confiabilidade do relatório.</t>
  </si>
  <si>
    <t>Não aplicáveis (N/A)</t>
  </si>
  <si>
    <t>Itens pendentes</t>
  </si>
  <si>
    <t>Aderência geral</t>
  </si>
  <si>
    <t>Nível de aderência</t>
  </si>
  <si>
    <t>CONTROLE DE NÃO CONFORMIDADES</t>
  </si>
  <si>
    <t>Indicador</t>
  </si>
  <si>
    <t>Quantidade</t>
  </si>
  <si>
    <t>Regra</t>
  </si>
  <si>
    <t>NC classificadas</t>
  </si>
  <si>
    <t>NC com classificação definida</t>
  </si>
  <si>
    <t>LEGENDA DE PREENCHIMENTO</t>
  </si>
  <si>
    <t>NC abertas</t>
  </si>
  <si>
    <t>Status Aberta</t>
  </si>
  <si>
    <t>Código</t>
  </si>
  <si>
    <t>Significado</t>
  </si>
  <si>
    <t>Quando usar</t>
  </si>
  <si>
    <t>Impacto no cálculo</t>
  </si>
  <si>
    <t>Registro necessário</t>
  </si>
  <si>
    <t>NC em correção</t>
  </si>
  <si>
    <t>Status Em correção</t>
  </si>
  <si>
    <t>Conforme</t>
  </si>
  <si>
    <t>O requisito possui evidência suficiente no documento.</t>
  </si>
  <si>
    <t>Conta como 1</t>
  </si>
  <si>
    <t>Indicar página, seção, tabela ou evidência.</t>
  </si>
  <si>
    <t>NC resolvidas</t>
  </si>
  <si>
    <t>Status Resolvida</t>
  </si>
  <si>
    <t>Não conforme</t>
  </si>
  <si>
    <t>O requisito não foi atendido ou não possui evidência suficiente.</t>
  </si>
  <si>
    <t>Conta como 0</t>
  </si>
  <si>
    <t>Descrever a evidência e abrir o controle de NC.</t>
  </si>
  <si>
    <t>NC escalonadas</t>
  </si>
  <si>
    <t>Status Escalonada</t>
  </si>
  <si>
    <t>N/A</t>
  </si>
  <si>
    <t>Não aplicável</t>
  </si>
  <si>
    <t>O requisito não se aplica ao escopo do artefato.</t>
  </si>
  <si>
    <t>Excluído do cálculo</t>
  </si>
  <si>
    <t>Justificar a não aplicabilidade.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</si>
</sst>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\ &quot;min&quot;"/>
    <numFmt numFmtId="165" formatCode="0.0%"/>
    <numFmt numFmtId="166" formatCode="dd/mm/yyyy\ hh:mm"/>
  </numFmts>
  <fonts count="11">
    <font>
      <sz val="11"/>
      <name val="Carlito"/>
    </font>
    <font>
      <b/>
      <sz val="16"/>
      <color rgb="FFFFFFFF"/>
      <name val="Arial"/>
    </font>
    <font>
      <i/>
      <sz val="10"/>
      <color rgb="FF17365D"/>
      <name val="Arial"/>
    </font>
    <font>
      <i/>
      <sz val="9"/>
      <color rgb="FF7F6000"/>
      <name val="Arial"/>
    </font>
    <font>
      <b/>
      <sz val="9"/>
      <color rgb="FF17365D"/>
      <name val="Arial"/>
    </font>
    <font>
      <sz val="9"/>
      <color rgb="FF1F2937"/>
      <name val="Arial"/>
    </font>
    <font>
      <b/>
      <sz val="10"/>
      <color rgb="FFFFFFFF"/>
      <name val="Arial"/>
    </font>
    <font>
      <sz val="10"/>
      <color rgb="FF1F2937"/>
      <name val="Arial"/>
    </font>
    <font>
      <b/>
      <sz val="11"/>
      <color rgb="FFFFFFFF"/>
      <name val="Arial"/>
    </font>
    <font>
      <b/>
      <sz val="10"/>
      <color rgb="FF17365D"/>
      <name val="Arial"/>
    </font>
    <font>
      <sz val="11"/>
      <name val="Arial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3F4F6"/>
      </patternFill>
    </fill>
    <fill>
      <patternFill patternType="solid">
        <fgColor rgb="FFEEF5FB"/>
      </patternFill>
    </fill>
    <fill>
      <patternFill patternType="solid">
        <fgColor rgb="FFC6E0B4"/>
      </patternFill>
    </fill>
    <fill>
      <patternFill patternType="solid">
        <fgColor rgb="FFF4CCCC"/>
      </patternFill>
    </fill>
    <fill>
      <patternFill patternType="solid">
        <fgColor rgb="FFE7E6E6"/>
      </patternFill>
    </fill>
  </fills>
  <borders count="15">
    <border>
      <left/>
      <right/>
      <top/>
      <bottom/>
      <diagonal/>
    </border>
    <border>
      <left style="thin">
        <color rgb="FFB8C4CE"/>
      </left>
      <right/>
      <top style="thin">
        <color rgb="FFB8C4CE"/>
      </top>
      <bottom style="thin">
        <color rgb="FFB8C4CE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thin">
        <color rgb="FFB8C4CE"/>
      </left>
      <right style="thin">
        <color rgb="FFB8C4CE"/>
      </right>
      <top style="thin">
        <color rgb="FFB8C4CE"/>
      </top>
      <bottom/>
      <diagonal/>
    </border>
    <border>
      <left style="thin">
        <color rgb="FFB8C4CE"/>
      </left>
      <right style="thin">
        <color rgb="FFB8C4CE"/>
      </right>
      <top/>
      <bottom/>
      <diagonal/>
    </border>
    <border>
      <left style="thin">
        <color rgb="FFB8C4CE"/>
      </left>
      <right style="thin">
        <color rgb="FFB8C4CE"/>
      </right>
      <top/>
      <bottom style="thin">
        <color rgb="FFB8C4CE"/>
      </bottom>
      <diagonal/>
    </border>
    <border>
      <left style="thin">
        <color rgb="FFB8C4CE"/>
      </left>
      <right/>
      <top style="thin">
        <color rgb="FFB8C4CE"/>
      </top>
      <bottom/>
      <diagonal/>
    </border>
    <border>
      <left/>
      <right/>
      <top style="thin">
        <color rgb="FFB8C4CE"/>
      </top>
      <bottom/>
      <diagonal/>
    </border>
    <border>
      <left/>
      <right style="thin">
        <color rgb="FFB8C4CE"/>
      </right>
      <top style="thin">
        <color rgb="FFB8C4CE"/>
      </top>
      <bottom/>
      <diagonal/>
    </border>
    <border>
      <left style="thin">
        <color rgb="FFB8C4CE"/>
      </left>
      <right/>
      <top/>
      <bottom/>
      <diagonal/>
    </border>
    <border>
      <left/>
      <right style="thin">
        <color rgb="FFB8C4CE"/>
      </right>
      <top/>
      <bottom/>
      <diagonal/>
    </border>
    <border>
      <left style="thin">
        <color rgb="FFB8C4CE"/>
      </left>
      <right/>
      <top/>
      <bottom style="thin">
        <color rgb="FFB8C4CE"/>
      </bottom>
      <diagonal/>
    </border>
    <border>
      <left/>
      <right/>
      <top/>
      <bottom style="thin">
        <color rgb="FFB8C4CE"/>
      </bottom>
      <diagonal/>
    </border>
    <border>
      <left/>
      <right style="thin">
        <color rgb="FFB8C4CE"/>
      </right>
      <top/>
      <bottom style="thin">
        <color rgb="FFB8C4CE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5" fillId="0" borderId="9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9" fontId="7" fillId="6" borderId="8" xfId="0" applyNumberFormat="1" applyFont="1" applyFill="1" applyBorder="1" applyAlignment="1">
      <alignment horizontal="center" vertical="center" wrapText="1"/>
    </xf>
    <xf numFmtId="9" fontId="7" fillId="6" borderId="0" xfId="0" applyNumberFormat="1" applyFont="1" applyFill="1" applyAlignment="1">
      <alignment horizontal="center" vertical="center" wrapText="1"/>
    </xf>
    <xf numFmtId="9" fontId="7" fillId="6" borderId="13" xfId="0" applyNumberFormat="1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vertical="center" wrapText="1"/>
    </xf>
    <xf numFmtId="0" fontId="7" fillId="7" borderId="0" xfId="0" applyFont="1" applyFill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164" fontId="7" fillId="6" borderId="8" xfId="0" applyNumberFormat="1" applyFont="1" applyFill="1" applyBorder="1" applyAlignment="1">
      <alignment horizontal="center" vertical="center" wrapText="1"/>
    </xf>
    <xf numFmtId="164" fontId="7" fillId="6" borderId="0" xfId="0" applyNumberFormat="1" applyFont="1" applyFill="1" applyAlignment="1">
      <alignment horizontal="center" vertical="center" wrapText="1"/>
    </xf>
    <xf numFmtId="164" fontId="7" fillId="6" borderId="13" xfId="0" applyNumberFormat="1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vertical="center"/>
    </xf>
    <xf numFmtId="0" fontId="9" fillId="7" borderId="10" xfId="0" applyFont="1" applyFill="1" applyBorder="1" applyAlignment="1">
      <alignment vertical="center"/>
    </xf>
    <xf numFmtId="0" fontId="9" fillId="7" borderId="12" xfId="0" applyFont="1" applyFill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165" fontId="7" fillId="6" borderId="11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164" fontId="5" fillId="8" borderId="8" xfId="0" applyNumberFormat="1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64" fontId="5" fillId="4" borderId="0" xfId="0" applyNumberFormat="1" applyFont="1" applyFill="1" applyAlignment="1">
      <alignment horizontal="center" vertical="center" wrapText="1"/>
    </xf>
    <xf numFmtId="0" fontId="5" fillId="4" borderId="11" xfId="0" applyFont="1" applyFill="1" applyBorder="1" applyAlignment="1">
      <alignment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164" fontId="5" fillId="9" borderId="13" xfId="0" applyNumberFormat="1" applyFont="1" applyFill="1" applyBorder="1" applyAlignment="1">
      <alignment horizontal="center" vertical="center" wrapText="1"/>
    </xf>
    <xf numFmtId="0" fontId="5" fillId="9" borderId="14" xfId="0" applyFont="1" applyFill="1" applyBorder="1" applyAlignment="1">
      <alignment vertical="center" wrapText="1"/>
    </xf>
    <xf numFmtId="0" fontId="5" fillId="8" borderId="8" xfId="0" applyFont="1" applyFill="1" applyBorder="1" applyAlignment="1">
      <alignment vertical="center" wrapText="1"/>
    </xf>
    <xf numFmtId="0" fontId="5" fillId="9" borderId="10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vertical="center" wrapText="1"/>
    </xf>
    <xf numFmtId="0" fontId="5" fillId="9" borderId="11" xfId="0" applyFont="1" applyFill="1" applyBorder="1" applyAlignment="1">
      <alignment vertical="center" wrapText="1"/>
    </xf>
    <xf numFmtId="0" fontId="5" fillId="10" borderId="12" xfId="0" applyFont="1" applyFill="1" applyBorder="1" applyAlignment="1">
      <alignment horizontal="center" vertical="center" wrapText="1"/>
    </xf>
    <xf numFmtId="0" fontId="5" fillId="10" borderId="13" xfId="0" applyFont="1" applyFill="1" applyBorder="1" applyAlignment="1">
      <alignment vertical="center" wrapText="1"/>
    </xf>
    <xf numFmtId="0" fontId="5" fillId="10" borderId="14" xfId="0" applyFont="1" applyFill="1" applyBorder="1" applyAlignment="1">
      <alignment vertical="center" wrapText="1"/>
    </xf>
    <xf numFmtId="0" fontId="5" fillId="7" borderId="7" xfId="0" applyFont="1" applyFill="1" applyBorder="1" applyAlignment="1">
      <alignment vertical="center" wrapText="1"/>
    </xf>
    <xf numFmtId="0" fontId="5" fillId="7" borderId="10" xfId="0" applyFont="1" applyFill="1" applyBorder="1" applyAlignment="1">
      <alignment vertical="center" wrapText="1"/>
    </xf>
    <xf numFmtId="0" fontId="5" fillId="7" borderId="12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166" fontId="7" fillId="0" borderId="13" xfId="0" applyNumberFormat="1" applyFont="1" applyBorder="1" applyAlignment="1">
      <alignment vertical="center" wrapText="1"/>
    </xf>
    <xf numFmtId="166" fontId="7" fillId="6" borderId="13" xfId="0" applyNumberFormat="1" applyFont="1" applyFill="1" applyBorder="1" applyAlignment="1">
      <alignment vertical="center" wrapText="1"/>
    </xf>
    <xf numFmtId="166" fontId="7" fillId="6" borderId="8" xfId="0" applyNumberFormat="1" applyFont="1" applyFill="1" applyBorder="1" applyAlignment="1">
      <alignment horizontal="center" vertical="center" wrapText="1"/>
    </xf>
    <xf numFmtId="166" fontId="7" fillId="0" borderId="8" xfId="0" applyNumberFormat="1" applyFont="1" applyBorder="1" applyAlignment="1">
      <alignment horizontal="center" vertical="center" wrapText="1"/>
    </xf>
    <xf numFmtId="166" fontId="7" fillId="6" borderId="0" xfId="0" applyNumberFormat="1" applyFont="1" applyFill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166" fontId="7" fillId="0" borderId="13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11" xfId="0" applyFont="1" applyBorder="1" applyAlignment="1">
      <alignment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24">
    <dxf>
      <fill>
        <patternFill patternType="solid">
          <bgColor rgb="FFC6E0B4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numFmt numFmtId="166" formatCode="dd/mm/yyyy\ hh:mm"/>
    </dxf>
    <dxf>
      <numFmt numFmtId="166" formatCode="dd/mm/yyyy\ hh:mm"/>
    </dxf>
    <dxf>
      <numFmt numFmtId="166" formatCode="dd/mm/yyyy\ hh:mm"/>
    </dxf>
    <dxf>
      <numFmt numFmtId="166" formatCode="dd/mm/yyyy\ hh:mm"/>
      <alignment horizontal="center"/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5B6573"/>
      </font>
      <fill>
        <patternFill patternType="solid">
          <bgColor rgb="FFE7E6E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5B6573"/>
      </font>
      <fill>
        <patternFill patternType="solid">
          <bgColor rgb="FFE7E6E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375623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ChecklistUsabilidade" displayName="TabelaChecklistUsabilidade" ref="A7:G37" totalsRowShown="0">
  <autoFilter ref="A7:G37" xr:uid="{00000000-0009-0000-0100-000001000000}"/>
  <tableColumns count="7">
    <tableColumn id="1" xr3:uid="{00000000-0010-0000-0000-000001000000}" name="Nº"/>
    <tableColumn id="2" xr3:uid="{00000000-0010-0000-0000-000002000000}" name="Seção"/>
    <tableColumn id="3" xr3:uid="{00000000-0010-0000-0000-000003000000}" name="Critério de avaliação"/>
    <tableColumn id="4" xr3:uid="{00000000-0010-0000-0000-000004000000}" name="Evidência esperada"/>
    <tableColumn id="5" xr3:uid="{00000000-0010-0000-0000-000005000000}" name="Resultado"/>
    <tableColumn id="6" xr3:uid="{00000000-0010-0000-0000-000006000000}" name="% de aderência"/>
    <tableColumn id="7" xr3:uid="{00000000-0010-0000-0000-000007000000}" name="Evidência observada / observ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ControleNC" displayName="TabelaControleNC" ref="A5:N35" totalsRowShown="0">
  <autoFilter ref="A5:N35" xr:uid="{00000000-0009-0000-0100-000002000000}">
    <filterColumn colId="3">
      <filters>
        <filter val="NC"/>
      </filters>
    </filterColumn>
  </autoFilter>
  <tableColumns count="14">
    <tableColumn id="1" xr3:uid="{00000000-0010-0000-0100-000001000000}" name="Nº"/>
    <tableColumn id="2" xr3:uid="{00000000-0010-0000-0100-000002000000}" name="Seção"/>
    <tableColumn id="3" xr3:uid="{00000000-0010-0000-0100-000003000000}" name="Critério"/>
    <tableColumn id="4" xr3:uid="{00000000-0010-0000-0100-000004000000}" name="Resultado"/>
    <tableColumn id="5" xr3:uid="{00000000-0010-0000-0100-000005000000}" name="Data/hora da identificação" dataDxfId="9"/>
    <tableColumn id="6" xr3:uid="{00000000-0010-0000-0100-000006000000}" name="Responsável pela resolução"/>
    <tableColumn id="7" xr3:uid="{00000000-0010-0000-0100-000007000000}" name="Classificação"/>
    <tableColumn id="8" xr3:uid="{00000000-0010-0000-0100-000008000000}" name="Prioridade"/>
    <tableColumn id="9" xr3:uid="{00000000-0010-0000-0100-000009000000}" name="Ação corretiva indicada"/>
    <tableColumn id="10" xr3:uid="{00000000-0010-0000-0100-00000A000000}" name="Prazo (min)"/>
    <tableColumn id="11" xr3:uid="{00000000-0010-0000-0100-00000B000000}" name="Data/hora prevista" dataDxfId="8"/>
    <tableColumn id="12" xr3:uid="{00000000-0010-0000-0100-00000C000000}" name="Data/hora do escalonamento" dataDxfId="7"/>
    <tableColumn id="13" xr3:uid="{00000000-0010-0000-0100-00000D000000}" name="Data/hora da conclusão" dataDxfId="6"/>
    <tableColumn id="14" xr3:uid="{00000000-0010-0000-0100-00000E000000}" name="Status da N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showGridLines="0" topLeftCell="A4" zoomScale="67" workbookViewId="0">
      <selection activeCell="E37" sqref="E37"/>
    </sheetView>
  </sheetViews>
  <sheetFormatPr defaultRowHeight="13.9"/>
  <cols>
    <col min="1" max="1" width="13.5" bestFit="1" customWidth="1"/>
    <col min="2" max="2" width="24" customWidth="1"/>
    <col min="3" max="3" width="58" customWidth="1"/>
    <col min="4" max="4" width="43" customWidth="1"/>
    <col min="5" max="5" width="13" customWidth="1"/>
    <col min="6" max="6" width="14" customWidth="1"/>
    <col min="7" max="7" width="47" customWidth="1"/>
  </cols>
  <sheetData>
    <row r="1" spans="1:7" ht="30" customHeight="1">
      <c r="A1" s="84" t="s">
        <v>0</v>
      </c>
      <c r="B1" s="84"/>
      <c r="C1" s="84"/>
      <c r="D1" s="84"/>
      <c r="E1" s="84"/>
      <c r="F1" s="84"/>
      <c r="G1" s="84"/>
    </row>
    <row r="2" spans="1:7" ht="21" customHeight="1">
      <c r="A2" s="85" t="s">
        <v>1</v>
      </c>
      <c r="B2" s="85"/>
      <c r="C2" s="85"/>
      <c r="D2" s="85"/>
      <c r="E2" s="85"/>
      <c r="F2" s="85"/>
      <c r="G2" s="85"/>
    </row>
    <row r="3" spans="1:7" ht="24" customHeight="1">
      <c r="A3" s="1" t="s">
        <v>2</v>
      </c>
      <c r="B3" s="92" t="s">
        <v>3</v>
      </c>
      <c r="C3" s="93"/>
      <c r="D3" s="94"/>
      <c r="E3" s="1" t="s">
        <v>4</v>
      </c>
      <c r="F3" s="92" t="s">
        <v>5</v>
      </c>
      <c r="G3" s="94"/>
    </row>
    <row r="4" spans="1:7" ht="24" customHeight="1">
      <c r="A4" s="2" t="s">
        <v>6</v>
      </c>
      <c r="B4" s="95" t="s">
        <v>7</v>
      </c>
      <c r="C4" s="96"/>
      <c r="D4" s="97"/>
      <c r="E4" s="3" t="s">
        <v>8</v>
      </c>
      <c r="F4" s="98">
        <v>46121</v>
      </c>
      <c r="G4" s="99"/>
    </row>
    <row r="5" spans="1:7" ht="24" customHeight="1">
      <c r="A5" s="3" t="s">
        <v>9</v>
      </c>
      <c r="B5" s="89" t="s">
        <v>10</v>
      </c>
      <c r="C5" s="90"/>
      <c r="D5" s="91"/>
      <c r="E5" s="90"/>
      <c r="F5" s="90"/>
      <c r="G5" s="91"/>
    </row>
    <row r="6" spans="1:7" ht="30" customHeight="1">
      <c r="A6" s="86" t="s">
        <v>11</v>
      </c>
      <c r="B6" s="87"/>
      <c r="C6" s="87"/>
      <c r="D6" s="87"/>
      <c r="E6" s="87"/>
      <c r="F6" s="87"/>
      <c r="G6" s="88"/>
    </row>
    <row r="7" spans="1:7" ht="34.15" customHeight="1">
      <c r="A7" s="7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9" t="s">
        <v>18</v>
      </c>
    </row>
    <row r="8" spans="1:7" ht="37.9" customHeight="1">
      <c r="A8" s="17">
        <v>1</v>
      </c>
      <c r="B8" s="11" t="s">
        <v>19</v>
      </c>
      <c r="C8" s="11" t="s">
        <v>20</v>
      </c>
      <c r="D8" s="11" t="s">
        <v>21</v>
      </c>
      <c r="E8" s="20" t="s">
        <v>22</v>
      </c>
      <c r="F8" s="23">
        <f>IF(E8="","",IF(E8="N/A","",IF(E8="CF",1,0)))</f>
        <v>1</v>
      </c>
      <c r="G8" s="12"/>
    </row>
    <row r="9" spans="1:7" ht="37.9" customHeight="1">
      <c r="A9" s="18">
        <v>2</v>
      </c>
      <c r="B9" s="13" t="s">
        <v>19</v>
      </c>
      <c r="C9" s="13" t="s">
        <v>23</v>
      </c>
      <c r="D9" s="13" t="s">
        <v>24</v>
      </c>
      <c r="E9" s="21" t="s">
        <v>25</v>
      </c>
      <c r="F9" s="23">
        <f>IF(E9="","",IF(E9="N/A","",IF(E9="CF",1,0)))</f>
        <v>0</v>
      </c>
      <c r="G9" s="14"/>
    </row>
    <row r="10" spans="1:7" ht="37.9" customHeight="1">
      <c r="A10" s="18">
        <v>3</v>
      </c>
      <c r="B10" s="13" t="s">
        <v>19</v>
      </c>
      <c r="C10" s="13" t="s">
        <v>26</v>
      </c>
      <c r="D10" s="13" t="s">
        <v>27</v>
      </c>
      <c r="E10" s="21" t="s">
        <v>22</v>
      </c>
      <c r="F10" s="23">
        <f>IF(E10="","",IF(E10="N/A","",IF(E10="CF",1,0)))</f>
        <v>1</v>
      </c>
      <c r="G10" s="14"/>
    </row>
    <row r="11" spans="1:7" ht="37.9" customHeight="1">
      <c r="A11" s="18">
        <v>4</v>
      </c>
      <c r="B11" s="13" t="s">
        <v>19</v>
      </c>
      <c r="C11" s="13" t="s">
        <v>28</v>
      </c>
      <c r="D11" s="13" t="s">
        <v>29</v>
      </c>
      <c r="E11" s="21" t="s">
        <v>22</v>
      </c>
      <c r="F11" s="24">
        <f>IF(E11="","",IF(E11="N/A","",IF(E11="CF",1,0)))</f>
        <v>1</v>
      </c>
      <c r="G11" s="14"/>
    </row>
    <row r="12" spans="1:7" ht="37.9" customHeight="1">
      <c r="A12" s="18">
        <v>5</v>
      </c>
      <c r="B12" s="13" t="s">
        <v>30</v>
      </c>
      <c r="C12" s="13" t="s">
        <v>31</v>
      </c>
      <c r="D12" s="13" t="s">
        <v>32</v>
      </c>
      <c r="E12" s="21" t="s">
        <v>22</v>
      </c>
      <c r="F12" s="24">
        <f t="shared" ref="F8:F37" si="0">IF(E12="","",IF(E12="N/A","",IF(E12="CF",1,0)))</f>
        <v>1</v>
      </c>
      <c r="G12" s="14"/>
    </row>
    <row r="13" spans="1:7" ht="37.9" customHeight="1">
      <c r="A13" s="18">
        <v>6</v>
      </c>
      <c r="B13" s="13" t="s">
        <v>30</v>
      </c>
      <c r="C13" s="13" t="s">
        <v>33</v>
      </c>
      <c r="D13" s="13" t="s">
        <v>34</v>
      </c>
      <c r="E13" s="21" t="s">
        <v>22</v>
      </c>
      <c r="F13" s="24">
        <f t="shared" si="0"/>
        <v>1</v>
      </c>
      <c r="G13" s="14"/>
    </row>
    <row r="14" spans="1:7" ht="37.9" customHeight="1">
      <c r="A14" s="18">
        <v>7</v>
      </c>
      <c r="B14" s="13" t="s">
        <v>30</v>
      </c>
      <c r="C14" s="13" t="s">
        <v>35</v>
      </c>
      <c r="D14" s="13" t="s">
        <v>36</v>
      </c>
      <c r="E14" s="21" t="s">
        <v>22</v>
      </c>
      <c r="F14" s="24">
        <f t="shared" si="0"/>
        <v>1</v>
      </c>
      <c r="G14" s="14"/>
    </row>
    <row r="15" spans="1:7" ht="37.9" customHeight="1">
      <c r="A15" s="18">
        <v>8</v>
      </c>
      <c r="B15" s="13" t="s">
        <v>30</v>
      </c>
      <c r="C15" s="13" t="s">
        <v>37</v>
      </c>
      <c r="D15" s="13" t="s">
        <v>38</v>
      </c>
      <c r="E15" s="21" t="s">
        <v>22</v>
      </c>
      <c r="F15" s="24">
        <f t="shared" si="0"/>
        <v>1</v>
      </c>
      <c r="G15" s="14"/>
    </row>
    <row r="16" spans="1:7" ht="37.9" customHeight="1">
      <c r="A16" s="18">
        <v>9</v>
      </c>
      <c r="B16" s="13" t="s">
        <v>30</v>
      </c>
      <c r="C16" s="13" t="s">
        <v>39</v>
      </c>
      <c r="D16" s="13" t="s">
        <v>40</v>
      </c>
      <c r="E16" s="21" t="s">
        <v>22</v>
      </c>
      <c r="F16" s="24">
        <f t="shared" si="0"/>
        <v>1</v>
      </c>
      <c r="G16" s="14"/>
    </row>
    <row r="17" spans="1:7" ht="37.9" customHeight="1">
      <c r="A17" s="18">
        <v>10</v>
      </c>
      <c r="B17" s="13" t="s">
        <v>30</v>
      </c>
      <c r="C17" s="13" t="s">
        <v>41</v>
      </c>
      <c r="D17" s="13" t="s">
        <v>42</v>
      </c>
      <c r="E17" s="21" t="s">
        <v>25</v>
      </c>
      <c r="F17" s="24">
        <f t="shared" si="0"/>
        <v>0</v>
      </c>
      <c r="G17" s="14"/>
    </row>
    <row r="18" spans="1:7" ht="37.9" customHeight="1">
      <c r="A18" s="18">
        <v>11</v>
      </c>
      <c r="B18" s="13" t="s">
        <v>30</v>
      </c>
      <c r="C18" s="13" t="s">
        <v>43</v>
      </c>
      <c r="D18" s="13" t="s">
        <v>44</v>
      </c>
      <c r="E18" s="21" t="s">
        <v>22</v>
      </c>
      <c r="F18" s="24">
        <f t="shared" si="0"/>
        <v>1</v>
      </c>
      <c r="G18" s="14"/>
    </row>
    <row r="19" spans="1:7" ht="37.9" customHeight="1">
      <c r="A19" s="18">
        <v>12</v>
      </c>
      <c r="B19" s="13" t="s">
        <v>45</v>
      </c>
      <c r="C19" s="13" t="s">
        <v>46</v>
      </c>
      <c r="D19" s="13" t="s">
        <v>47</v>
      </c>
      <c r="E19" s="21" t="s">
        <v>22</v>
      </c>
      <c r="F19" s="24">
        <f t="shared" si="0"/>
        <v>1</v>
      </c>
      <c r="G19" s="14"/>
    </row>
    <row r="20" spans="1:7" ht="37.9" customHeight="1">
      <c r="A20" s="18">
        <v>13</v>
      </c>
      <c r="B20" s="13" t="s">
        <v>45</v>
      </c>
      <c r="C20" s="13" t="s">
        <v>48</v>
      </c>
      <c r="D20" s="13" t="s">
        <v>49</v>
      </c>
      <c r="E20" s="21" t="s">
        <v>22</v>
      </c>
      <c r="F20" s="24">
        <f t="shared" si="0"/>
        <v>1</v>
      </c>
      <c r="G20" s="14"/>
    </row>
    <row r="21" spans="1:7" ht="37.9" customHeight="1">
      <c r="A21" s="18">
        <v>14</v>
      </c>
      <c r="B21" s="13" t="s">
        <v>45</v>
      </c>
      <c r="C21" s="13" t="s">
        <v>50</v>
      </c>
      <c r="D21" s="13" t="s">
        <v>51</v>
      </c>
      <c r="E21" s="21" t="s">
        <v>22</v>
      </c>
      <c r="F21" s="24">
        <f t="shared" si="0"/>
        <v>1</v>
      </c>
      <c r="G21" s="14"/>
    </row>
    <row r="22" spans="1:7" ht="37.9" customHeight="1">
      <c r="A22" s="18">
        <v>15</v>
      </c>
      <c r="B22" s="13" t="s">
        <v>45</v>
      </c>
      <c r="C22" s="13" t="s">
        <v>52</v>
      </c>
      <c r="D22" s="13" t="s">
        <v>53</v>
      </c>
      <c r="E22" s="21" t="s">
        <v>25</v>
      </c>
      <c r="F22" s="24">
        <f t="shared" si="0"/>
        <v>0</v>
      </c>
      <c r="G22" s="14"/>
    </row>
    <row r="23" spans="1:7" ht="37.9" customHeight="1">
      <c r="A23" s="18">
        <v>16</v>
      </c>
      <c r="B23" s="13" t="s">
        <v>54</v>
      </c>
      <c r="C23" s="13" t="s">
        <v>55</v>
      </c>
      <c r="D23" s="13" t="s">
        <v>56</v>
      </c>
      <c r="E23" s="21" t="s">
        <v>22</v>
      </c>
      <c r="F23" s="24">
        <f t="shared" si="0"/>
        <v>1</v>
      </c>
      <c r="G23" s="14"/>
    </row>
    <row r="24" spans="1:7" ht="37.9" customHeight="1">
      <c r="A24" s="18">
        <v>17</v>
      </c>
      <c r="B24" s="13" t="s">
        <v>54</v>
      </c>
      <c r="C24" s="13" t="s">
        <v>57</v>
      </c>
      <c r="D24" s="13" t="s">
        <v>58</v>
      </c>
      <c r="E24" s="21" t="s">
        <v>22</v>
      </c>
      <c r="F24" s="24">
        <f t="shared" si="0"/>
        <v>1</v>
      </c>
      <c r="G24" s="14"/>
    </row>
    <row r="25" spans="1:7" ht="37.9" customHeight="1">
      <c r="A25" s="18">
        <v>18</v>
      </c>
      <c r="B25" s="13" t="s">
        <v>54</v>
      </c>
      <c r="C25" s="13" t="s">
        <v>59</v>
      </c>
      <c r="D25" s="13" t="s">
        <v>60</v>
      </c>
      <c r="E25" s="21" t="s">
        <v>22</v>
      </c>
      <c r="F25" s="24">
        <f t="shared" si="0"/>
        <v>1</v>
      </c>
      <c r="G25" s="14"/>
    </row>
    <row r="26" spans="1:7" ht="37.9" customHeight="1">
      <c r="A26" s="18">
        <v>19</v>
      </c>
      <c r="B26" s="13" t="s">
        <v>54</v>
      </c>
      <c r="C26" s="13" t="s">
        <v>61</v>
      </c>
      <c r="D26" s="13" t="s">
        <v>62</v>
      </c>
      <c r="E26" s="21" t="s">
        <v>22</v>
      </c>
      <c r="F26" s="24">
        <f t="shared" si="0"/>
        <v>1</v>
      </c>
      <c r="G26" s="14"/>
    </row>
    <row r="27" spans="1:7" ht="37.9" customHeight="1">
      <c r="A27" s="18">
        <v>20</v>
      </c>
      <c r="B27" s="13" t="s">
        <v>63</v>
      </c>
      <c r="C27" s="13" t="s">
        <v>64</v>
      </c>
      <c r="D27" s="13" t="s">
        <v>65</v>
      </c>
      <c r="E27" s="21" t="s">
        <v>22</v>
      </c>
      <c r="F27" s="24">
        <f t="shared" si="0"/>
        <v>1</v>
      </c>
      <c r="G27" s="14"/>
    </row>
    <row r="28" spans="1:7" ht="37.9" customHeight="1">
      <c r="A28" s="18">
        <v>21</v>
      </c>
      <c r="B28" s="13" t="s">
        <v>63</v>
      </c>
      <c r="C28" s="13" t="s">
        <v>66</v>
      </c>
      <c r="D28" s="13" t="s">
        <v>67</v>
      </c>
      <c r="E28" s="21" t="s">
        <v>22</v>
      </c>
      <c r="F28" s="24">
        <f t="shared" si="0"/>
        <v>1</v>
      </c>
      <c r="G28" s="14"/>
    </row>
    <row r="29" spans="1:7" ht="37.9" customHeight="1">
      <c r="A29" s="18">
        <v>22</v>
      </c>
      <c r="B29" s="13" t="s">
        <v>68</v>
      </c>
      <c r="C29" s="13" t="s">
        <v>69</v>
      </c>
      <c r="D29" s="13" t="s">
        <v>70</v>
      </c>
      <c r="E29" s="21" t="s">
        <v>22</v>
      </c>
      <c r="F29" s="24">
        <f t="shared" si="0"/>
        <v>1</v>
      </c>
      <c r="G29" s="14"/>
    </row>
    <row r="30" spans="1:7" ht="37.9" customHeight="1">
      <c r="A30" s="18">
        <v>23</v>
      </c>
      <c r="B30" s="13" t="s">
        <v>68</v>
      </c>
      <c r="C30" s="13" t="s">
        <v>71</v>
      </c>
      <c r="D30" s="13" t="s">
        <v>72</v>
      </c>
      <c r="E30" s="21" t="s">
        <v>25</v>
      </c>
      <c r="F30" s="24">
        <f t="shared" si="0"/>
        <v>0</v>
      </c>
      <c r="G30" s="14"/>
    </row>
    <row r="31" spans="1:7" ht="37.9" customHeight="1">
      <c r="A31" s="18">
        <v>24</v>
      </c>
      <c r="B31" s="13" t="s">
        <v>68</v>
      </c>
      <c r="C31" s="13" t="s">
        <v>73</v>
      </c>
      <c r="D31" s="13" t="s">
        <v>74</v>
      </c>
      <c r="E31" s="21" t="s">
        <v>25</v>
      </c>
      <c r="F31" s="24">
        <f t="shared" si="0"/>
        <v>0</v>
      </c>
      <c r="G31" s="14"/>
    </row>
    <row r="32" spans="1:7" ht="37.9" customHeight="1">
      <c r="A32" s="18">
        <v>25</v>
      </c>
      <c r="B32" s="13" t="s">
        <v>75</v>
      </c>
      <c r="C32" s="13" t="s">
        <v>76</v>
      </c>
      <c r="D32" s="13" t="s">
        <v>77</v>
      </c>
      <c r="E32" s="21" t="s">
        <v>22</v>
      </c>
      <c r="F32" s="24">
        <f t="shared" si="0"/>
        <v>1</v>
      </c>
      <c r="G32" s="14"/>
    </row>
    <row r="33" spans="1:7" ht="37.9" customHeight="1">
      <c r="A33" s="18">
        <v>26</v>
      </c>
      <c r="B33" s="13" t="s">
        <v>75</v>
      </c>
      <c r="C33" s="13" t="s">
        <v>78</v>
      </c>
      <c r="D33" s="13" t="s">
        <v>77</v>
      </c>
      <c r="E33" s="21" t="s">
        <v>25</v>
      </c>
      <c r="F33" s="24">
        <f t="shared" si="0"/>
        <v>0</v>
      </c>
      <c r="G33" s="14"/>
    </row>
    <row r="34" spans="1:7" ht="37.9" customHeight="1">
      <c r="A34" s="18">
        <v>27</v>
      </c>
      <c r="B34" s="13" t="s">
        <v>79</v>
      </c>
      <c r="C34" s="13" t="s">
        <v>80</v>
      </c>
      <c r="D34" s="13" t="s">
        <v>81</v>
      </c>
      <c r="E34" s="21" t="s">
        <v>22</v>
      </c>
      <c r="F34" s="24">
        <f t="shared" si="0"/>
        <v>1</v>
      </c>
      <c r="G34" s="14"/>
    </row>
    <row r="35" spans="1:7" ht="37.9" customHeight="1">
      <c r="A35" s="18">
        <v>28</v>
      </c>
      <c r="B35" s="13" t="s">
        <v>79</v>
      </c>
      <c r="C35" s="13" t="s">
        <v>82</v>
      </c>
      <c r="D35" s="13" t="s">
        <v>83</v>
      </c>
      <c r="E35" s="21" t="s">
        <v>25</v>
      </c>
      <c r="F35" s="24">
        <f t="shared" si="0"/>
        <v>0</v>
      </c>
      <c r="G35" s="14"/>
    </row>
    <row r="36" spans="1:7" ht="37.9" customHeight="1">
      <c r="A36" s="18">
        <v>29</v>
      </c>
      <c r="B36" s="13" t="s">
        <v>79</v>
      </c>
      <c r="C36" s="13" t="s">
        <v>84</v>
      </c>
      <c r="D36" s="13" t="s">
        <v>85</v>
      </c>
      <c r="E36" s="21" t="s">
        <v>25</v>
      </c>
      <c r="F36" s="24">
        <f t="shared" si="0"/>
        <v>0</v>
      </c>
      <c r="G36" s="14"/>
    </row>
    <row r="37" spans="1:7" ht="37.9" customHeight="1">
      <c r="A37" s="19">
        <v>30</v>
      </c>
      <c r="B37" s="15" t="s">
        <v>79</v>
      </c>
      <c r="C37" s="15" t="s">
        <v>86</v>
      </c>
      <c r="D37" s="15" t="s">
        <v>87</v>
      </c>
      <c r="E37" s="22" t="s">
        <v>22</v>
      </c>
      <c r="F37" s="25">
        <f t="shared" si="0"/>
        <v>1</v>
      </c>
      <c r="G37" s="16"/>
    </row>
  </sheetData>
  <mergeCells count="8">
    <mergeCell ref="B5:G5"/>
    <mergeCell ref="A6:G6"/>
    <mergeCell ref="A1:G1"/>
    <mergeCell ref="A2:G2"/>
    <mergeCell ref="B3:D3"/>
    <mergeCell ref="F3:G3"/>
    <mergeCell ref="B4:D4"/>
    <mergeCell ref="F4:G4"/>
  </mergeCells>
  <conditionalFormatting sqref="E8:E37">
    <cfRule type="containsText" dxfId="23" priority="1" operator="containsText" text="CF"/>
    <cfRule type="containsText" dxfId="22" priority="2" operator="containsText" text="NC"/>
    <cfRule type="containsText" dxfId="21" priority="3" operator="containsText" text="N/A"/>
  </conditionalFormatting>
  <conditionalFormatting sqref="F8:F37">
    <cfRule type="expression" dxfId="20" priority="4">
      <formula>AND($E8="CF",$F8=1)</formula>
    </cfRule>
    <cfRule type="expression" dxfId="19" priority="5">
      <formula>AND($E8="NC",$F8=0)</formula>
    </cfRule>
  </conditionalFormatting>
  <dataValidations count="1">
    <dataValidation type="list" sqref="E8:E37" xr:uid="{00000000-0002-0000-0000-000000000000}">
      <formula1>"CF,NC,N/A"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"/>
  <sheetViews>
    <sheetView showGridLines="0" tabSelected="1" topLeftCell="C4" zoomScale="59" workbookViewId="0">
      <selection activeCell="N34" sqref="N34"/>
    </sheetView>
  </sheetViews>
  <sheetFormatPr defaultRowHeight="13.9"/>
  <cols>
    <col min="1" max="1" width="6" customWidth="1"/>
    <col min="2" max="2" width="24" customWidth="1"/>
    <col min="3" max="3" width="55" customWidth="1"/>
    <col min="4" max="4" width="11" customWidth="1"/>
    <col min="5" max="5" width="21" customWidth="1"/>
    <col min="6" max="6" width="27" customWidth="1"/>
    <col min="7" max="7" width="15" customWidth="1"/>
    <col min="8" max="8" width="16" customWidth="1"/>
    <col min="9" max="9" width="46" customWidth="1"/>
    <col min="10" max="10" width="13" customWidth="1"/>
    <col min="11" max="11" width="21" customWidth="1"/>
    <col min="12" max="12" width="22" customWidth="1"/>
    <col min="13" max="13" width="21" customWidth="1"/>
    <col min="14" max="14" width="24" customWidth="1"/>
  </cols>
  <sheetData>
    <row r="1" spans="1:14" ht="30" customHeight="1">
      <c r="A1" s="84" t="s">
        <v>88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</row>
    <row r="2" spans="1:14" ht="21" customHeight="1">
      <c r="A2" s="85" t="s">
        <v>89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1:14" ht="27" customHeight="1">
      <c r="A3" s="86" t="s">
        <v>90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8"/>
    </row>
    <row r="4" spans="1:14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</row>
    <row r="5" spans="1:14" ht="34.15" customHeight="1">
      <c r="A5" s="7" t="s">
        <v>12</v>
      </c>
      <c r="B5" s="8" t="s">
        <v>13</v>
      </c>
      <c r="C5" s="8" t="s">
        <v>91</v>
      </c>
      <c r="D5" s="8" t="s">
        <v>16</v>
      </c>
      <c r="E5" s="8" t="s">
        <v>92</v>
      </c>
      <c r="F5" s="8" t="s">
        <v>93</v>
      </c>
      <c r="G5" s="8" t="s">
        <v>94</v>
      </c>
      <c r="H5" s="8" t="s">
        <v>95</v>
      </c>
      <c r="I5" s="8" t="s">
        <v>96</v>
      </c>
      <c r="J5" s="8" t="s">
        <v>97</v>
      </c>
      <c r="K5" s="8" t="s">
        <v>98</v>
      </c>
      <c r="L5" s="8" t="s">
        <v>99</v>
      </c>
      <c r="M5" s="8" t="s">
        <v>100</v>
      </c>
      <c r="N5" s="9" t="s">
        <v>101</v>
      </c>
    </row>
    <row r="6" spans="1:14" ht="37.9" hidden="1" customHeight="1">
      <c r="A6" s="26">
        <f>Checklist!A8</f>
        <v>1</v>
      </c>
      <c r="B6" s="27" t="str">
        <f>Checklist!B8</f>
        <v>Introdução e contexto</v>
      </c>
      <c r="C6" s="27" t="str">
        <f>Checklist!C8</f>
        <v>O contexto caracteriza o sistema web avaliado?</v>
      </c>
      <c r="D6" s="28" t="str">
        <f>IF(Checklist!E8="","",Checklist!E8)</f>
        <v>CF</v>
      </c>
      <c r="E6" s="80"/>
      <c r="F6" s="11"/>
      <c r="G6" s="20"/>
      <c r="H6" s="35" t="str">
        <f>IF(OR(D6&lt;&gt;"NC",G6=""),"",VLOOKUP(G6,'Resumo e Regras'!$H$6:$J$8,2,FALSE))</f>
        <v/>
      </c>
      <c r="I6" s="11"/>
      <c r="J6" s="38"/>
      <c r="K6" s="79" t="str">
        <f>IF(OR(E6="",J6=""),"",E6+J6/1440)</f>
        <v/>
      </c>
      <c r="L6" s="80"/>
      <c r="M6" s="80"/>
      <c r="N6" s="12"/>
    </row>
    <row r="7" spans="1:14" ht="37.9" customHeight="1">
      <c r="A7" s="29">
        <f>Checklist!A9</f>
        <v>2</v>
      </c>
      <c r="B7" s="30" t="str">
        <f>Checklist!B9</f>
        <v>Introdução e contexto</v>
      </c>
      <c r="C7" s="30" t="str">
        <f>Checklist!C9</f>
        <v>A justificativa para a escolha do sistema foi apresentada?</v>
      </c>
      <c r="D7" s="31" t="str">
        <f>IF(Checklist!E9="","",Checklist!E9)</f>
        <v>NC</v>
      </c>
      <c r="E7" s="82"/>
      <c r="F7" s="13"/>
      <c r="G7" s="21" t="s">
        <v>102</v>
      </c>
      <c r="H7" s="36" t="str">
        <f>IF(OR(D7&lt;&gt;"NC",G7=""),"",VLOOKUP(G7,'Resumo e Regras'!$H$6:$J$8,2,FALSE))</f>
        <v>P2 — Média</v>
      </c>
      <c r="I7" s="13" t="s">
        <v>103</v>
      </c>
      <c r="J7" s="39">
        <f>IF(OR(D7&lt;&gt;"NC",G7=""),"",VLOOKUP(G7,'Resumo e Regras'!$H$6:$J$8,3,FALSE))</f>
        <v>45</v>
      </c>
      <c r="K7" s="81" t="str">
        <f>IF(OR(E7="",J7=""),"",E7+J7/1440)</f>
        <v/>
      </c>
      <c r="L7" s="82"/>
      <c r="M7" s="82"/>
      <c r="N7" s="14" t="s">
        <v>104</v>
      </c>
    </row>
    <row r="8" spans="1:14" ht="37.9" hidden="1" customHeight="1">
      <c r="A8" s="29">
        <f>Checklist!A10</f>
        <v>3</v>
      </c>
      <c r="B8" s="30" t="str">
        <f>Checklist!B10</f>
        <v>Introdução e contexto</v>
      </c>
      <c r="C8" s="30" t="str">
        <f>Checklist!C10</f>
        <v>Os objetivos específicos do teste foram descritos?</v>
      </c>
      <c r="D8" s="31" t="str">
        <f>IF(Checklist!E10="","",Checklist!E10)</f>
        <v>CF</v>
      </c>
      <c r="E8" s="82"/>
      <c r="F8" s="13"/>
      <c r="G8" s="21"/>
      <c r="H8" s="36" t="str">
        <f>IF(OR(D8&lt;&gt;"NC",G8=""),"",VLOOKUP(G8,'Resumo e Regras'!$H$6:$J$8,2,FALSE))</f>
        <v/>
      </c>
      <c r="I8" s="13"/>
      <c r="J8" s="39" t="str">
        <f>IF(OR(D8&lt;&gt;"NC",G8=""),"",VLOOKUP(G8,'Resumo e Regras'!$H$6:$J$8,3,FALSE))</f>
        <v/>
      </c>
      <c r="K8" s="81" t="str">
        <f t="shared" ref="K8:K35" si="0">IF(OR(E8="",J8=""),"",E8+J8/1440)</f>
        <v/>
      </c>
      <c r="L8" s="82"/>
      <c r="M8" s="82"/>
      <c r="N8" s="14"/>
    </row>
    <row r="9" spans="1:14" ht="37.9" hidden="1" customHeight="1">
      <c r="A9" s="29">
        <f>Checklist!A11</f>
        <v>4</v>
      </c>
      <c r="B9" s="30" t="str">
        <f>Checklist!B11</f>
        <v>Introdução e contexto</v>
      </c>
      <c r="C9" s="30" t="str">
        <f>Checklist!C11</f>
        <v>O aspecto de qualidade avaliado foi identificado?</v>
      </c>
      <c r="D9" s="31" t="str">
        <f>IF(Checklist!E11="","",Checklist!E11)</f>
        <v>CF</v>
      </c>
      <c r="E9" s="82"/>
      <c r="F9" s="13"/>
      <c r="G9" s="21"/>
      <c r="H9" s="36" t="str">
        <f>IF(OR(D9&lt;&gt;"NC",G9=""),"",VLOOKUP(G9,'Resumo e Regras'!$H$6:$J$8,2,FALSE))</f>
        <v/>
      </c>
      <c r="I9" s="13"/>
      <c r="J9" s="39" t="str">
        <f>IF(OR(D9&lt;&gt;"NC",G9=""),"",VLOOKUP(G9,'Resumo e Regras'!$H$6:$J$8,3,FALSE))</f>
        <v/>
      </c>
      <c r="K9" s="81" t="str">
        <f t="shared" si="0"/>
        <v/>
      </c>
      <c r="L9" s="82"/>
      <c r="M9" s="82"/>
      <c r="N9" s="14"/>
    </row>
    <row r="10" spans="1:14" ht="37.9" hidden="1" customHeight="1">
      <c r="A10" s="29">
        <f>Checklist!A12</f>
        <v>5</v>
      </c>
      <c r="B10" s="30" t="str">
        <f>Checklist!B12</f>
        <v>Metodologia e planejamento</v>
      </c>
      <c r="C10" s="30" t="str">
        <f>Checklist!C12</f>
        <v>As tarefas planejadas para os participantes foram listadas?</v>
      </c>
      <c r="D10" s="31" t="str">
        <f>IF(Checklist!E12="","",Checklist!E12)</f>
        <v>CF</v>
      </c>
      <c r="E10" s="82"/>
      <c r="F10" s="13"/>
      <c r="G10" s="21"/>
      <c r="H10" s="36" t="str">
        <f>IF(OR(D10&lt;&gt;"NC",G10=""),"",VLOOKUP(G10,'Resumo e Regras'!$H$6:$J$8,2,FALSE))</f>
        <v/>
      </c>
      <c r="I10" s="13"/>
      <c r="J10" s="39" t="str">
        <f>IF(OR(D10&lt;&gt;"NC",G10=""),"",VLOOKUP(G10,'Resumo e Regras'!$H$6:$J$8,3,FALSE))</f>
        <v/>
      </c>
      <c r="K10" s="81" t="str">
        <f t="shared" si="0"/>
        <v/>
      </c>
      <c r="L10" s="82"/>
      <c r="M10" s="82"/>
      <c r="N10" s="14"/>
    </row>
    <row r="11" spans="1:14" ht="37.9" hidden="1" customHeight="1">
      <c r="A11" s="29">
        <f>Checklist!A13</f>
        <v>6</v>
      </c>
      <c r="B11" s="30" t="str">
        <f>Checklist!B13</f>
        <v>Metodologia e planejamento</v>
      </c>
      <c r="C11" s="30" t="str">
        <f>Checklist!C13</f>
        <v>Cada tarefa indica uma heurística de Nielsen?</v>
      </c>
      <c r="D11" s="31" t="str">
        <f>IF(Checklist!E13="","",Checklist!E13)</f>
        <v>CF</v>
      </c>
      <c r="E11" s="82"/>
      <c r="F11" s="13"/>
      <c r="G11" s="21"/>
      <c r="H11" s="36" t="str">
        <f>IF(OR(D11&lt;&gt;"NC",G11=""),"",VLOOKUP(G11,'Resumo e Regras'!$H$6:$J$8,2,FALSE))</f>
        <v/>
      </c>
      <c r="I11" s="13"/>
      <c r="J11" s="39" t="str">
        <f>IF(OR(D11&lt;&gt;"NC",G11=""),"",VLOOKUP(G11,'Resumo e Regras'!$H$6:$J$8,3,FALSE))</f>
        <v/>
      </c>
      <c r="K11" s="81" t="str">
        <f t="shared" si="0"/>
        <v/>
      </c>
      <c r="L11" s="82"/>
      <c r="M11" s="82"/>
      <c r="N11" s="14"/>
    </row>
    <row r="12" spans="1:14" ht="37.9" hidden="1" customHeight="1">
      <c r="A12" s="29">
        <f>Checklist!A14</f>
        <v>7</v>
      </c>
      <c r="B12" s="30" t="str">
        <f>Checklist!B14</f>
        <v>Metodologia e planejamento</v>
      </c>
      <c r="C12" s="30" t="str">
        <f>Checklist!C14</f>
        <v>Cada tarefa possui um cenário de uso definido?</v>
      </c>
      <c r="D12" s="31" t="str">
        <f>IF(Checklist!E14="","",Checklist!E14)</f>
        <v>CF</v>
      </c>
      <c r="E12" s="82"/>
      <c r="F12" s="13"/>
      <c r="G12" s="21"/>
      <c r="H12" s="36" t="str">
        <f>IF(OR(D12&lt;&gt;"NC",G12=""),"",VLOOKUP(G12,'Resumo e Regras'!$H$6:$J$8,2,FALSE))</f>
        <v/>
      </c>
      <c r="I12" s="13"/>
      <c r="J12" s="39" t="str">
        <f>IF(OR(D12&lt;&gt;"NC",G12=""),"",VLOOKUP(G12,'Resumo e Regras'!$H$6:$J$8,3,FALSE))</f>
        <v/>
      </c>
      <c r="K12" s="81" t="str">
        <f t="shared" si="0"/>
        <v/>
      </c>
      <c r="L12" s="82"/>
      <c r="M12" s="82"/>
      <c r="N12" s="14"/>
    </row>
    <row r="13" spans="1:14" ht="37.9" hidden="1" customHeight="1">
      <c r="A13" s="29">
        <f>Checklist!A15</f>
        <v>8</v>
      </c>
      <c r="B13" s="30" t="str">
        <f>Checklist!B15</f>
        <v>Metodologia e planejamento</v>
      </c>
      <c r="C13" s="30" t="str">
        <f>Checklist!C15</f>
        <v>Cada tarefa identifica a interface avaliada?</v>
      </c>
      <c r="D13" s="31" t="str">
        <f>IF(Checklist!E15="","",Checklist!E15)</f>
        <v>CF</v>
      </c>
      <c r="E13" s="82"/>
      <c r="F13" s="13"/>
      <c r="G13" s="21"/>
      <c r="H13" s="36" t="str">
        <f>IF(OR(D13&lt;&gt;"NC",G13=""),"",VLOOKUP(G13,'Resumo e Regras'!$H$6:$J$8,2,FALSE))</f>
        <v/>
      </c>
      <c r="I13" s="13"/>
      <c r="J13" s="39" t="str">
        <f>IF(OR(D13&lt;&gt;"NC",G13=""),"",VLOOKUP(G13,'Resumo e Regras'!$H$6:$J$8,3,FALSE))</f>
        <v/>
      </c>
      <c r="K13" s="81" t="str">
        <f t="shared" si="0"/>
        <v/>
      </c>
      <c r="L13" s="82"/>
      <c r="M13" s="82"/>
      <c r="N13" s="14"/>
    </row>
    <row r="14" spans="1:14" ht="37.9" hidden="1" customHeight="1">
      <c r="A14" s="29">
        <f>Checklist!A16</f>
        <v>9</v>
      </c>
      <c r="B14" s="30" t="str">
        <f>Checklist!B16</f>
        <v>Metodologia e planejamento</v>
      </c>
      <c r="C14" s="30" t="str">
        <f>Checklist!C16</f>
        <v>A aplicação da técnica de caixa preta foi explicada?</v>
      </c>
      <c r="D14" s="31" t="str">
        <f>IF(Checklist!E16="","",Checklist!E16)</f>
        <v>CF</v>
      </c>
      <c r="E14" s="82"/>
      <c r="F14" s="13"/>
      <c r="G14" s="21"/>
      <c r="H14" s="36" t="str">
        <f>IF(OR(D14&lt;&gt;"NC",G14=""),"",VLOOKUP(G14,'Resumo e Regras'!$H$6:$J$8,2,FALSE))</f>
        <v/>
      </c>
      <c r="I14" s="13"/>
      <c r="J14" s="39" t="str">
        <f>IF(OR(D14&lt;&gt;"NC",G14=""),"",VLOOKUP(G14,'Resumo e Regras'!$H$6:$J$8,3,FALSE))</f>
        <v/>
      </c>
      <c r="K14" s="81" t="str">
        <f t="shared" si="0"/>
        <v/>
      </c>
      <c r="L14" s="82"/>
      <c r="M14" s="82"/>
      <c r="N14" s="14"/>
    </row>
    <row r="15" spans="1:14" ht="37.9" customHeight="1">
      <c r="A15" s="29">
        <f>Checklist!A17</f>
        <v>10</v>
      </c>
      <c r="B15" s="30" t="str">
        <f>Checklist!B17</f>
        <v>Metodologia e planejamento</v>
      </c>
      <c r="C15" s="30" t="str">
        <f>Checklist!C17</f>
        <v>A relevância da técnica de caixa preta para o teste foi justificada?</v>
      </c>
      <c r="D15" s="31" t="str">
        <f>IF(Checklist!E17="","",Checklist!E17)</f>
        <v>NC</v>
      </c>
      <c r="E15" s="82"/>
      <c r="F15" s="13"/>
      <c r="G15" s="21" t="s">
        <v>105</v>
      </c>
      <c r="H15" s="36" t="str">
        <f>IF(OR(D15&lt;&gt;"NC",G15=""),"",VLOOKUP(G15,'Resumo e Regras'!$H$6:$J$8,2,FALSE))</f>
        <v>P3 — Baixa</v>
      </c>
      <c r="I15" s="13" t="s">
        <v>106</v>
      </c>
      <c r="J15" s="39">
        <f>IF(OR(D15&lt;&gt;"NC",G15=""),"",VLOOKUP(G15,'Resumo e Regras'!$H$6:$J$8,3,FALSE))</f>
        <v>30</v>
      </c>
      <c r="K15" s="81" t="str">
        <f t="shared" si="0"/>
        <v/>
      </c>
      <c r="L15" s="82"/>
      <c r="M15" s="82"/>
      <c r="N15" s="14" t="s">
        <v>104</v>
      </c>
    </row>
    <row r="16" spans="1:14" ht="37.9" hidden="1" customHeight="1">
      <c r="A16" s="29">
        <f>Checklist!A18</f>
        <v>11</v>
      </c>
      <c r="B16" s="30" t="str">
        <f>Checklist!B18</f>
        <v>Metodologia e planejamento</v>
      </c>
      <c r="C16" s="30" t="str">
        <f>Checklist!C18</f>
        <v>Os recursos utilizados no teste foram identificados?</v>
      </c>
      <c r="D16" s="31" t="str">
        <f>IF(Checklist!E18="","",Checklist!E18)</f>
        <v>CF</v>
      </c>
      <c r="E16" s="82"/>
      <c r="F16" s="13"/>
      <c r="G16" s="21"/>
      <c r="H16" s="36" t="str">
        <f>IF(OR(D16&lt;&gt;"NC",G16=""),"",VLOOKUP(G16,'Resumo e Regras'!$H$6:$J$8,2,FALSE))</f>
        <v/>
      </c>
      <c r="I16" s="13"/>
      <c r="J16" s="39" t="str">
        <f>IF(OR(D16&lt;&gt;"NC",G16=""),"",VLOOKUP(G16,'Resumo e Regras'!$H$6:$J$8,3,FALSE))</f>
        <v/>
      </c>
      <c r="K16" s="81" t="str">
        <f t="shared" si="0"/>
        <v/>
      </c>
      <c r="L16" s="82"/>
      <c r="M16" s="82"/>
      <c r="N16" s="14"/>
    </row>
    <row r="17" spans="1:14" ht="37.9" hidden="1" customHeight="1">
      <c r="A17" s="29">
        <f>Checklist!A19</f>
        <v>12</v>
      </c>
      <c r="B17" s="30" t="str">
        <f>Checklist!B19</f>
        <v>Execução do teste</v>
      </c>
      <c r="C17" s="30" t="str">
        <f>Checklist!C19</f>
        <v>O processo de execução do teste foi descrito?</v>
      </c>
      <c r="D17" s="31" t="str">
        <f>IF(Checklist!E19="","",Checklist!E19)</f>
        <v>CF</v>
      </c>
      <c r="E17" s="82"/>
      <c r="F17" s="13"/>
      <c r="G17" s="21"/>
      <c r="H17" s="36" t="str">
        <f>IF(OR(D17&lt;&gt;"NC",G17=""),"",VLOOKUP(G17,'Resumo e Regras'!$H$6:$J$8,2,FALSE))</f>
        <v/>
      </c>
      <c r="I17" s="13"/>
      <c r="J17" s="39" t="str">
        <f>IF(OR(D17&lt;&gt;"NC",G17=""),"",VLOOKUP(G17,'Resumo e Regras'!$H$6:$J$8,3,FALSE))</f>
        <v/>
      </c>
      <c r="K17" s="81" t="str">
        <f t="shared" si="0"/>
        <v/>
      </c>
      <c r="L17" s="82"/>
      <c r="M17" s="82"/>
      <c r="N17" s="14"/>
    </row>
    <row r="18" spans="1:14" ht="37.9" hidden="1" customHeight="1">
      <c r="A18" s="29">
        <f>Checklist!A20</f>
        <v>13</v>
      </c>
      <c r="B18" s="30" t="str">
        <f>Checklist!B20</f>
        <v>Execução do teste</v>
      </c>
      <c r="C18" s="30" t="str">
        <f>Checklist!C20</f>
        <v>Cada tarefa planejada possui um resultado registrado?</v>
      </c>
      <c r="D18" s="31" t="str">
        <f>IF(Checklist!E20="","",Checklist!E20)</f>
        <v>CF</v>
      </c>
      <c r="E18" s="82"/>
      <c r="F18" s="13"/>
      <c r="G18" s="21"/>
      <c r="H18" s="36" t="str">
        <f>IF(OR(D18&lt;&gt;"NC",G18=""),"",VLOOKUP(G18,'Resumo e Regras'!$H$6:$J$8,2,FALSE))</f>
        <v/>
      </c>
      <c r="I18" s="13"/>
      <c r="J18" s="39" t="str">
        <f>IF(OR(D18&lt;&gt;"NC",G18=""),"",VLOOKUP(G18,'Resumo e Regras'!$H$6:$J$8,3,FALSE))</f>
        <v/>
      </c>
      <c r="K18" s="81" t="str">
        <f t="shared" si="0"/>
        <v/>
      </c>
      <c r="L18" s="82"/>
      <c r="M18" s="82"/>
      <c r="N18" s="14"/>
    </row>
    <row r="19" spans="1:14" ht="37.9" hidden="1" customHeight="1">
      <c r="A19" s="29">
        <f>Checklist!A21</f>
        <v>14</v>
      </c>
      <c r="B19" s="30" t="str">
        <f>Checklist!B21</f>
        <v>Execução do teste</v>
      </c>
      <c r="C19" s="30" t="str">
        <f>Checklist!C21</f>
        <v>Cada tarefa executada possui uma evidência verificável?</v>
      </c>
      <c r="D19" s="31" t="str">
        <f>IF(Checklist!E21="","",Checklist!E21)</f>
        <v>CF</v>
      </c>
      <c r="E19" s="82"/>
      <c r="F19" s="13"/>
      <c r="G19" s="21"/>
      <c r="H19" s="36" t="str">
        <f>IF(OR(D19&lt;&gt;"NC",G19=""),"",VLOOKUP(G19,'Resumo e Regras'!$H$6:$J$8,2,FALSE))</f>
        <v/>
      </c>
      <c r="I19" s="13"/>
      <c r="J19" s="39" t="str">
        <f>IF(OR(D19&lt;&gt;"NC",G19=""),"",VLOOKUP(G19,'Resumo e Regras'!$H$6:$J$8,3,FALSE))</f>
        <v/>
      </c>
      <c r="K19" s="81" t="str">
        <f t="shared" si="0"/>
        <v/>
      </c>
      <c r="L19" s="82"/>
      <c r="M19" s="82"/>
      <c r="N19" s="14"/>
    </row>
    <row r="20" spans="1:14" ht="37.9" customHeight="1">
      <c r="A20" s="29">
        <f>Checklist!A22</f>
        <v>15</v>
      </c>
      <c r="B20" s="30" t="str">
        <f>Checklist!B22</f>
        <v>Execução do teste</v>
      </c>
      <c r="C20" s="30" t="str">
        <f>Checklist!C22</f>
        <v>Cada evidência sustenta o resultado atribuído à tarefa?</v>
      </c>
      <c r="D20" s="31" t="str">
        <f>IF(Checklist!E22="","",Checklist!E22)</f>
        <v>NC</v>
      </c>
      <c r="E20" s="82"/>
      <c r="F20" s="13"/>
      <c r="G20" s="21" t="s">
        <v>102</v>
      </c>
      <c r="H20" s="36" t="str">
        <f>IF(OR(D20&lt;&gt;"NC",G20=""),"",VLOOKUP(G20,'Resumo e Regras'!$H$6:$J$8,2,FALSE))</f>
        <v>P2 — Média</v>
      </c>
      <c r="I20" s="13" t="s">
        <v>107</v>
      </c>
      <c r="J20" s="39">
        <f>IF(OR(D20&lt;&gt;"NC",G20=""),"",VLOOKUP(G20,'Resumo e Regras'!$H$6:$J$8,3,FALSE))</f>
        <v>45</v>
      </c>
      <c r="K20" s="81" t="str">
        <f t="shared" si="0"/>
        <v/>
      </c>
      <c r="L20" s="82"/>
      <c r="M20" s="82"/>
      <c r="N20" s="14" t="s">
        <v>108</v>
      </c>
    </row>
    <row r="21" spans="1:14" ht="37.9" hidden="1" customHeight="1">
      <c r="A21" s="29">
        <f>Checklist!A23</f>
        <v>16</v>
      </c>
      <c r="B21" s="30" t="str">
        <f>Checklist!B23</f>
        <v>Análise de usabilidade</v>
      </c>
      <c r="C21" s="30" t="str">
        <f>Checklist!C23</f>
        <v>A análise contempla as dez heurísticas de Nielsen?</v>
      </c>
      <c r="D21" s="31" t="str">
        <f>IF(Checklist!E23="","",Checklist!E23)</f>
        <v>CF</v>
      </c>
      <c r="E21" s="82"/>
      <c r="F21" s="13"/>
      <c r="G21" s="21"/>
      <c r="H21" s="36" t="str">
        <f>IF(OR(D21&lt;&gt;"NC",G21=""),"",VLOOKUP(G21,'Resumo e Regras'!$H$6:$J$8,2,FALSE))</f>
        <v/>
      </c>
      <c r="I21" s="13"/>
      <c r="J21" s="39" t="str">
        <f>IF(OR(D21&lt;&gt;"NC",G21=""),"",VLOOKUP(G21,'Resumo e Regras'!$H$6:$J$8,3,FALSE))</f>
        <v/>
      </c>
      <c r="K21" s="81" t="str">
        <f t="shared" si="0"/>
        <v/>
      </c>
      <c r="L21" s="82"/>
      <c r="M21" s="82"/>
      <c r="N21" s="14"/>
    </row>
    <row r="22" spans="1:14" ht="37.9" hidden="1" customHeight="1">
      <c r="A22" s="29">
        <f>Checklist!A24</f>
        <v>17</v>
      </c>
      <c r="B22" s="30" t="str">
        <f>Checklist!B24</f>
        <v>Análise de usabilidade</v>
      </c>
      <c r="C22" s="30" t="str">
        <f>Checklist!C24</f>
        <v>Os achados da análise são rastreáveis aos testes executados?</v>
      </c>
      <c r="D22" s="31" t="str">
        <f>IF(Checklist!E24="","",Checklist!E24)</f>
        <v>CF</v>
      </c>
      <c r="E22" s="82"/>
      <c r="F22" s="13"/>
      <c r="G22" s="21"/>
      <c r="H22" s="36" t="str">
        <f>IF(OR(D22&lt;&gt;"NC",G22=""),"",VLOOKUP(G22,'Resumo e Regras'!$H$6:$J$8,2,FALSE))</f>
        <v/>
      </c>
      <c r="I22" s="13"/>
      <c r="J22" s="39" t="str">
        <f>IF(OR(D22&lt;&gt;"NC",G22=""),"",VLOOKUP(G22,'Resumo e Regras'!$H$6:$J$8,3,FALSE))</f>
        <v/>
      </c>
      <c r="K22" s="81" t="str">
        <f t="shared" si="0"/>
        <v/>
      </c>
      <c r="L22" s="82"/>
      <c r="M22" s="82"/>
      <c r="N22" s="14"/>
    </row>
    <row r="23" spans="1:14" ht="37.9" hidden="1" customHeight="1">
      <c r="A23" s="29">
        <f>Checklist!A25</f>
        <v>18</v>
      </c>
      <c r="B23" s="30" t="str">
        <f>Checklist!B25</f>
        <v>Análise de usabilidade</v>
      </c>
      <c r="C23" s="30" t="str">
        <f>Checklist!C25</f>
        <v>Os problemas de maior impacto foram identificados?</v>
      </c>
      <c r="D23" s="31" t="str">
        <f>IF(Checklist!E25="","",Checklist!E25)</f>
        <v>CF</v>
      </c>
      <c r="E23" s="82"/>
      <c r="F23" s="13"/>
      <c r="G23" s="21"/>
      <c r="H23" s="36" t="str">
        <f>IF(OR(D23&lt;&gt;"NC",G23=""),"",VLOOKUP(G23,'Resumo e Regras'!$H$6:$J$8,2,FALSE))</f>
        <v/>
      </c>
      <c r="I23" s="13"/>
      <c r="J23" s="39" t="str">
        <f>IF(OR(D23&lt;&gt;"NC",G23=""),"",VLOOKUP(G23,'Resumo e Regras'!$H$6:$J$8,3,FALSE))</f>
        <v/>
      </c>
      <c r="K23" s="81" t="str">
        <f t="shared" si="0"/>
        <v/>
      </c>
      <c r="L23" s="82"/>
      <c r="M23" s="82"/>
      <c r="N23" s="14"/>
    </row>
    <row r="24" spans="1:14" ht="37.9" hidden="1" customHeight="1">
      <c r="A24" s="29">
        <f>Checklist!A26</f>
        <v>19</v>
      </c>
      <c r="B24" s="30" t="str">
        <f>Checklist!B26</f>
        <v>Análise de usabilidade</v>
      </c>
      <c r="C24" s="30" t="str">
        <f>Checklist!C26</f>
        <v>Cada problema de maior impacto possui uma classificação?</v>
      </c>
      <c r="D24" s="31" t="str">
        <f>IF(Checklist!E26="","",Checklist!E26)</f>
        <v>CF</v>
      </c>
      <c r="E24" s="82"/>
      <c r="F24" s="13"/>
      <c r="G24" s="21"/>
      <c r="H24" s="36" t="str">
        <f>IF(OR(D24&lt;&gt;"NC",G24=""),"",VLOOKUP(G24,'Resumo e Regras'!$H$6:$J$8,2,FALSE))</f>
        <v/>
      </c>
      <c r="I24" s="13"/>
      <c r="J24" s="39" t="str">
        <f>IF(OR(D24&lt;&gt;"NC",G24=""),"",VLOOKUP(G24,'Resumo e Regras'!$H$6:$J$8,3,FALSE))</f>
        <v/>
      </c>
      <c r="K24" s="81" t="str">
        <f t="shared" si="0"/>
        <v/>
      </c>
      <c r="L24" s="82"/>
      <c r="M24" s="82"/>
      <c r="N24" s="14"/>
    </row>
    <row r="25" spans="1:14" ht="37.9" hidden="1" customHeight="1">
      <c r="A25" s="29">
        <f>Checklist!A27</f>
        <v>20</v>
      </c>
      <c r="B25" s="30" t="str">
        <f>Checklist!B27</f>
        <v>Conclusão e recomendações</v>
      </c>
      <c r="C25" s="30" t="str">
        <f>Checklist!C27</f>
        <v>A conclusão sintetiza a avaliação geral da qualidade do sistema?</v>
      </c>
      <c r="D25" s="31" t="str">
        <f>IF(Checklist!E27="","",Checklist!E27)</f>
        <v>CF</v>
      </c>
      <c r="E25" s="82"/>
      <c r="F25" s="13"/>
      <c r="G25" s="21"/>
      <c r="H25" s="36" t="str">
        <f>IF(OR(D25&lt;&gt;"NC",G25=""),"",VLOOKUP(G25,'Resumo e Regras'!$H$6:$J$8,2,FALSE))</f>
        <v/>
      </c>
      <c r="I25" s="13"/>
      <c r="J25" s="39" t="str">
        <f>IF(OR(D25&lt;&gt;"NC",G25=""),"",VLOOKUP(G25,'Resumo e Regras'!$H$6:$J$8,3,FALSE))</f>
        <v/>
      </c>
      <c r="K25" s="81" t="str">
        <f t="shared" si="0"/>
        <v/>
      </c>
      <c r="L25" s="82"/>
      <c r="M25" s="82"/>
      <c r="N25" s="14"/>
    </row>
    <row r="26" spans="1:14" ht="37.9" hidden="1" customHeight="1">
      <c r="A26" s="29">
        <f>Checklist!A28</f>
        <v>21</v>
      </c>
      <c r="B26" s="30" t="str">
        <f>Checklist!B28</f>
        <v>Conclusão e recomendações</v>
      </c>
      <c r="C26" s="30" t="str">
        <f>Checklist!C28</f>
        <v>As recomendações decorrem dos problemas identificados?</v>
      </c>
      <c r="D26" s="31" t="str">
        <f>IF(Checklist!E28="","",Checklist!E28)</f>
        <v>CF</v>
      </c>
      <c r="E26" s="82"/>
      <c r="F26" s="13"/>
      <c r="G26" s="21"/>
      <c r="H26" s="36" t="str">
        <f>IF(OR(D26&lt;&gt;"NC",G26=""),"",VLOOKUP(G26,'Resumo e Regras'!$H$6:$J$8,2,FALSE))</f>
        <v/>
      </c>
      <c r="I26" s="13"/>
      <c r="J26" s="39" t="str">
        <f>IF(OR(D26&lt;&gt;"NC",G26=""),"",VLOOKUP(G26,'Resumo e Regras'!$H$6:$J$8,3,FALSE))</f>
        <v/>
      </c>
      <c r="K26" s="81" t="str">
        <f t="shared" si="0"/>
        <v/>
      </c>
      <c r="L26" s="82"/>
      <c r="M26" s="82"/>
      <c r="N26" s="14"/>
    </row>
    <row r="27" spans="1:14" ht="37.9" hidden="1" customHeight="1">
      <c r="A27" s="29">
        <f>Checklist!A29</f>
        <v>22</v>
      </c>
      <c r="B27" s="30" t="str">
        <f>Checklist!B29</f>
        <v>Checklist do processo</v>
      </c>
      <c r="C27" s="30" t="str">
        <f>Checklist!C29</f>
        <v>O checklist registra as etapas previstas do processo de teste?</v>
      </c>
      <c r="D27" s="31" t="str">
        <f>IF(Checklist!E29="","",Checklist!E29)</f>
        <v>CF</v>
      </c>
      <c r="E27" s="82"/>
      <c r="F27" s="13"/>
      <c r="G27" s="21"/>
      <c r="H27" s="36" t="str">
        <f>IF(OR(D27&lt;&gt;"NC",G27=""),"",VLOOKUP(G27,'Resumo e Regras'!$H$6:$J$8,2,FALSE))</f>
        <v/>
      </c>
      <c r="I27" s="13"/>
      <c r="J27" s="39" t="str">
        <f>IF(OR(D27&lt;&gt;"NC",G27=""),"",VLOOKUP(G27,'Resumo e Regras'!$H$6:$J$8,3,FALSE))</f>
        <v/>
      </c>
      <c r="K27" s="81" t="str">
        <f t="shared" si="0"/>
        <v/>
      </c>
      <c r="L27" s="82"/>
      <c r="M27" s="82"/>
      <c r="N27" s="14"/>
    </row>
    <row r="28" spans="1:14" ht="37.9" customHeight="1">
      <c r="A28" s="29">
        <f>Checklist!A30</f>
        <v>23</v>
      </c>
      <c r="B28" s="30" t="str">
        <f>Checklist!B30</f>
        <v>Checklist do processo</v>
      </c>
      <c r="C28" s="30" t="str">
        <f>Checklist!C30</f>
        <v>O responsável pela aplicação do checklist foi identificado?</v>
      </c>
      <c r="D28" s="31" t="str">
        <f>IF(Checklist!E30="","",Checklist!E30)</f>
        <v>NC</v>
      </c>
      <c r="E28" s="82"/>
      <c r="F28" s="13"/>
      <c r="G28" s="21" t="s">
        <v>109</v>
      </c>
      <c r="H28" s="36" t="str">
        <f>IF(OR(D28&lt;&gt;"NC",G28=""),"",VLOOKUP(G28,'Resumo e Regras'!$H$6:$J$8,2,FALSE))</f>
        <v>P1 — Alta</v>
      </c>
      <c r="I28" s="13" t="s">
        <v>110</v>
      </c>
      <c r="J28" s="39">
        <f>IF(OR(D28&lt;&gt;"NC",G28=""),"",VLOOKUP(G28,'Resumo e Regras'!$H$6:$J$8,3,FALSE))</f>
        <v>60</v>
      </c>
      <c r="K28" s="81" t="str">
        <f t="shared" si="0"/>
        <v/>
      </c>
      <c r="L28" s="82"/>
      <c r="M28" s="82"/>
      <c r="N28" s="14" t="s">
        <v>104</v>
      </c>
    </row>
    <row r="29" spans="1:14" ht="37.9" customHeight="1">
      <c r="A29" s="29">
        <f>Checklist!A31</f>
        <v>24</v>
      </c>
      <c r="B29" s="30" t="str">
        <f>Checklist!B31</f>
        <v>Checklist do processo</v>
      </c>
      <c r="C29" s="30" t="str">
        <f>Checklist!C31</f>
        <v>O responsável pela revisão do checklist foi identificado?</v>
      </c>
      <c r="D29" s="31" t="str">
        <f>IF(Checklist!E31="","",Checklist!E31)</f>
        <v>NC</v>
      </c>
      <c r="E29" s="82"/>
      <c r="F29" s="13"/>
      <c r="G29" s="21" t="s">
        <v>109</v>
      </c>
      <c r="H29" s="36" t="str">
        <f>IF(OR(D29&lt;&gt;"NC",G29=""),"",VLOOKUP(G29,'Resumo e Regras'!$H$6:$J$8,2,FALSE))</f>
        <v>P1 — Alta</v>
      </c>
      <c r="I29" s="13" t="s">
        <v>111</v>
      </c>
      <c r="J29" s="39">
        <f>IF(OR(D29&lt;&gt;"NC",G29=""),"",VLOOKUP(G29,'Resumo e Regras'!$H$6:$J$8,3,FALSE))</f>
        <v>60</v>
      </c>
      <c r="K29" s="81" t="str">
        <f t="shared" si="0"/>
        <v/>
      </c>
      <c r="L29" s="82"/>
      <c r="M29" s="82"/>
      <c r="N29" s="14" t="s">
        <v>104</v>
      </c>
    </row>
    <row r="30" spans="1:14" ht="37.9" hidden="1" customHeight="1">
      <c r="A30" s="29">
        <f>Checklist!A32</f>
        <v>25</v>
      </c>
      <c r="B30" s="30" t="str">
        <f>Checklist!B32</f>
        <v>Referências</v>
      </c>
      <c r="C30" s="30" t="str">
        <f>Checklist!C32</f>
        <v>A fonte utilizada para as heurísticas de Nielsen foi citada?</v>
      </c>
      <c r="D30" s="31" t="str">
        <f>IF(Checklist!E32="","",Checklist!E32)</f>
        <v>CF</v>
      </c>
      <c r="E30" s="82"/>
      <c r="F30" s="13"/>
      <c r="G30" s="21"/>
      <c r="H30" s="36" t="str">
        <f>IF(OR(D30&lt;&gt;"NC",G30=""),"",VLOOKUP(G30,'Resumo e Regras'!$H$6:$J$8,2,FALSE))</f>
        <v/>
      </c>
      <c r="I30" s="13"/>
      <c r="J30" s="39" t="str">
        <f>IF(OR(D30&lt;&gt;"NC",G30=""),"",VLOOKUP(G30,'Resumo e Regras'!$H$6:$J$8,3,FALSE))</f>
        <v/>
      </c>
      <c r="K30" s="81" t="str">
        <f t="shared" si="0"/>
        <v/>
      </c>
      <c r="L30" s="82"/>
      <c r="M30" s="82"/>
      <c r="N30" s="14"/>
    </row>
    <row r="31" spans="1:14" ht="37.9" customHeight="1">
      <c r="A31" s="29">
        <f>Checklist!A33</f>
        <v>26</v>
      </c>
      <c r="B31" s="30" t="str">
        <f>Checklist!B33</f>
        <v>Referências</v>
      </c>
      <c r="C31" s="30" t="str">
        <f>Checklist!C33</f>
        <v>A fonte utilizada para a técnica de caixa preta foi citada?</v>
      </c>
      <c r="D31" s="31" t="str">
        <f>IF(Checklist!E33="","",Checklist!E33)</f>
        <v>NC</v>
      </c>
      <c r="E31" s="82"/>
      <c r="F31" s="13"/>
      <c r="G31" s="21" t="s">
        <v>105</v>
      </c>
      <c r="H31" s="36" t="str">
        <f>IF(OR(D31&lt;&gt;"NC",G31=""),"",VLOOKUP(G31,'Resumo e Regras'!$H$6:$J$8,2,FALSE))</f>
        <v>P3 — Baixa</v>
      </c>
      <c r="I31" s="13" t="s">
        <v>112</v>
      </c>
      <c r="J31" s="39">
        <f>IF(OR(D31&lt;&gt;"NC",G31=""),"",VLOOKUP(G31,'Resumo e Regras'!$H$6:$J$8,3,FALSE))</f>
        <v>30</v>
      </c>
      <c r="K31" s="81" t="str">
        <f t="shared" si="0"/>
        <v/>
      </c>
      <c r="L31" s="82"/>
      <c r="M31" s="82"/>
      <c r="N31" s="14" t="s">
        <v>104</v>
      </c>
    </row>
    <row r="32" spans="1:14" ht="37.9" hidden="1" customHeight="1">
      <c r="A32" s="29">
        <f>Checklist!A34</f>
        <v>27</v>
      </c>
      <c r="B32" s="30" t="str">
        <f>Checklist!B34</f>
        <v>Consistência documental</v>
      </c>
      <c r="C32" s="30" t="str">
        <f>Checklist!C34</f>
        <v>A estrutura do documento segue a ordem definida no template?</v>
      </c>
      <c r="D32" s="31" t="str">
        <f>IF(Checklist!E34="","",Checklist!E34)</f>
        <v>CF</v>
      </c>
      <c r="E32" s="82"/>
      <c r="F32" s="13"/>
      <c r="G32" s="21"/>
      <c r="H32" s="36" t="str">
        <f>IF(OR(D32&lt;&gt;"NC",G32=""),"",VLOOKUP(G32,'Resumo e Regras'!$H$6:$J$8,2,FALSE))</f>
        <v/>
      </c>
      <c r="I32" s="13"/>
      <c r="J32" s="39" t="str">
        <f>IF(OR(D32&lt;&gt;"NC",G32=""),"",VLOOKUP(G32,'Resumo e Regras'!$H$6:$J$8,3,FALSE))</f>
        <v/>
      </c>
      <c r="K32" s="81" t="str">
        <f t="shared" si="0"/>
        <v/>
      </c>
      <c r="L32" s="82"/>
      <c r="M32" s="82"/>
      <c r="N32" s="14"/>
    </row>
    <row r="33" spans="1:14" ht="48">
      <c r="A33" s="29">
        <f>Checklist!A35</f>
        <v>28</v>
      </c>
      <c r="B33" s="30" t="str">
        <f>Checklist!B35</f>
        <v>Consistência documental</v>
      </c>
      <c r="C33" s="30" t="str">
        <f>Checklist!C35</f>
        <v>Os textos de orientação do template foram removidos da versão avaliada?</v>
      </c>
      <c r="D33" s="31" t="str">
        <f>IF(Checklist!E35="","",Checklist!E35)</f>
        <v>NC</v>
      </c>
      <c r="E33" s="82"/>
      <c r="F33" s="13"/>
      <c r="G33" s="21" t="s">
        <v>105</v>
      </c>
      <c r="H33" s="36" t="str">
        <f>IF(OR(D33&lt;&gt;"NC",G33=""),"",VLOOKUP(G33,'Resumo e Regras'!$H$6:$J$8,2,FALSE))</f>
        <v>P3 — Baixa</v>
      </c>
      <c r="I33" s="13" t="s">
        <v>113</v>
      </c>
      <c r="J33" s="39">
        <f>IF(OR(D33&lt;&gt;"NC",G33=""),"",VLOOKUP(G33,'Resumo e Regras'!$H$6:$J$8,3,FALSE))</f>
        <v>30</v>
      </c>
      <c r="K33" s="81" t="str">
        <f t="shared" si="0"/>
        <v/>
      </c>
      <c r="L33" s="82"/>
      <c r="M33" s="82"/>
      <c r="N33" s="14" t="s">
        <v>104</v>
      </c>
    </row>
    <row r="34" spans="1:14" ht="60">
      <c r="A34" s="29">
        <f>Checklist!A36</f>
        <v>29</v>
      </c>
      <c r="B34" s="30" t="str">
        <f>Checklist!B36</f>
        <v>Consistência documental</v>
      </c>
      <c r="C34" s="30" t="str">
        <f>Checklist!C36</f>
        <v>Os identificadores das tarefas coincidem entre planejamento e execução?</v>
      </c>
      <c r="D34" s="31" t="str">
        <f>IF(Checklist!E36="","",Checklist!E36)</f>
        <v>NC</v>
      </c>
      <c r="E34" s="82"/>
      <c r="F34" s="13"/>
      <c r="G34" s="21" t="s">
        <v>109</v>
      </c>
      <c r="H34" s="36" t="str">
        <f>IF(OR(D34&lt;&gt;"NC",G34=""),"",VLOOKUP(G34,'Resumo e Regras'!$H$6:$J$8,2,FALSE))</f>
        <v>P1 — Alta</v>
      </c>
      <c r="I34" s="13" t="s">
        <v>114</v>
      </c>
      <c r="J34" s="39">
        <f>IF(OR(D34&lt;&gt;"NC",G34=""),"",VLOOKUP(G34,'Resumo e Regras'!$H$6:$J$8,3,FALSE))</f>
        <v>60</v>
      </c>
      <c r="K34" s="81" t="str">
        <f t="shared" si="0"/>
        <v/>
      </c>
      <c r="L34" s="82"/>
      <c r="M34" s="82"/>
      <c r="N34" s="14" t="s">
        <v>104</v>
      </c>
    </row>
    <row r="35" spans="1:14" ht="37.9" hidden="1" customHeight="1">
      <c r="A35" s="32">
        <f>Checklist!A37</f>
        <v>30</v>
      </c>
      <c r="B35" s="33" t="str">
        <f>Checklist!B37</f>
        <v>Consistência documental</v>
      </c>
      <c r="C35" s="33" t="str">
        <f>Checklist!C37</f>
        <v>Os quantitativos apresentados na análise coincidem com os resultados da execução?</v>
      </c>
      <c r="D35" s="34" t="str">
        <f>IF(Checklist!E37="","",Checklist!E37)</f>
        <v>CF</v>
      </c>
      <c r="E35" s="83"/>
      <c r="F35" s="15"/>
      <c r="G35" s="22"/>
      <c r="H35" s="37" t="str">
        <f>IF(OR(D35&lt;&gt;"NC",G35=""),"",VLOOKUP(G35,'Resumo e Regras'!$H$6:$J$8,2,FALSE))</f>
        <v/>
      </c>
      <c r="I35" s="15"/>
      <c r="J35" s="40" t="str">
        <f>IF(OR(D35&lt;&gt;"NC",G35=""),"",VLOOKUP(G35,'Resumo e Regras'!$H$6:$J$8,3,FALSE))</f>
        <v/>
      </c>
      <c r="K35" s="78" t="str">
        <f t="shared" si="0"/>
        <v/>
      </c>
      <c r="L35" s="77"/>
      <c r="M35" s="77"/>
      <c r="N35" s="16"/>
    </row>
  </sheetData>
  <mergeCells count="3">
    <mergeCell ref="A1:N1"/>
    <mergeCell ref="A2:N2"/>
    <mergeCell ref="A3:N3"/>
  </mergeCells>
  <conditionalFormatting sqref="D6:D35">
    <cfRule type="containsText" dxfId="18" priority="1" operator="containsText" text="CF"/>
    <cfRule type="containsText" dxfId="17" priority="2" operator="containsText" text="NC"/>
    <cfRule type="containsText" dxfId="16" priority="3" operator="containsText" text="N/A"/>
  </conditionalFormatting>
  <conditionalFormatting sqref="G6:G35">
    <cfRule type="containsText" dxfId="15" priority="4" operator="containsText" text="Baixa"/>
    <cfRule type="containsText" dxfId="14" priority="5" operator="containsText" text="Média"/>
    <cfRule type="containsText" dxfId="13" priority="6" operator="containsText" text="Alta"/>
  </conditionalFormatting>
  <conditionalFormatting sqref="N6:N35">
    <cfRule type="containsText" dxfId="12" priority="7" operator="containsText" text="Resolvida"/>
    <cfRule type="containsText" dxfId="11" priority="8" operator="containsText" text="Escalonada"/>
    <cfRule type="containsText" dxfId="10" priority="9" operator="containsText" text="Em correção"/>
  </conditionalFormatting>
  <dataValidations count="2">
    <dataValidation type="list" sqref="G6:G35" xr:uid="{00000000-0002-0000-0100-000000000000}">
      <formula1>"Baixa,Média,Alta"</formula1>
    </dataValidation>
    <dataValidation type="list" sqref="N6:N35" xr:uid="{00000000-0002-0000-0100-000001000000}">
      <formula1>"Aberta,Em correção,Aguardando reinspeção,Resolvida,Escalonada"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showGridLines="0" topLeftCell="A6" zoomScale="63" workbookViewId="0">
      <selection activeCell="I20" sqref="I20"/>
    </sheetView>
  </sheetViews>
  <sheetFormatPr defaultRowHeight="13.9"/>
  <cols>
    <col min="1" max="1" width="25" customWidth="1"/>
    <col min="2" max="2" width="18" customWidth="1"/>
    <col min="3" max="3" width="34" customWidth="1"/>
    <col min="4" max="4" width="18" customWidth="1"/>
    <col min="5" max="5" width="44" customWidth="1"/>
    <col min="6" max="7" width="3" customWidth="1"/>
    <col min="8" max="9" width="18" customWidth="1"/>
    <col min="10" max="10" width="15" customWidth="1"/>
    <col min="11" max="11" width="52" customWidth="1"/>
  </cols>
  <sheetData>
    <row r="1" spans="1:11" ht="30" customHeight="1">
      <c r="A1" s="84" t="s">
        <v>115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1" ht="21" customHeight="1">
      <c r="A2" s="85" t="s">
        <v>116</v>
      </c>
      <c r="B2" s="85"/>
      <c r="C2" s="85"/>
      <c r="D2" s="85"/>
      <c r="E2" s="85"/>
      <c r="F2" s="85"/>
      <c r="G2" s="85"/>
      <c r="H2" s="85"/>
      <c r="I2" s="85"/>
      <c r="J2" s="85"/>
      <c r="K2" s="85"/>
    </row>
    <row r="3" spans="1:1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22.9" customHeight="1">
      <c r="A4" s="101" t="s">
        <v>117</v>
      </c>
      <c r="B4" s="101"/>
      <c r="C4" s="10"/>
      <c r="D4" s="101" t="s">
        <v>118</v>
      </c>
      <c r="E4" s="101"/>
      <c r="F4" s="10"/>
      <c r="G4" s="10"/>
      <c r="H4" s="101" t="s">
        <v>119</v>
      </c>
      <c r="I4" s="101"/>
      <c r="J4" s="101"/>
      <c r="K4" s="101"/>
    </row>
    <row r="5" spans="1:11" ht="34.15" customHeight="1">
      <c r="A5" s="41" t="s">
        <v>120</v>
      </c>
      <c r="B5" s="44">
        <f>COUNTA(Checklist!A8:A37)</f>
        <v>30</v>
      </c>
      <c r="C5" s="10"/>
      <c r="D5" s="7" t="s">
        <v>121</v>
      </c>
      <c r="E5" s="9" t="s">
        <v>122</v>
      </c>
      <c r="F5" s="10"/>
      <c r="G5" s="10"/>
      <c r="H5" s="7" t="s">
        <v>94</v>
      </c>
      <c r="I5" s="8" t="s">
        <v>95</v>
      </c>
      <c r="J5" s="8" t="s">
        <v>97</v>
      </c>
      <c r="K5" s="9" t="s">
        <v>123</v>
      </c>
    </row>
    <row r="6" spans="1:11" ht="42" customHeight="1">
      <c r="A6" s="42" t="s">
        <v>124</v>
      </c>
      <c r="B6" s="45">
        <f>COUNTIF(Checklist!E8:E37,"CF")+COUNTIF(Checklist!E8:E37,"NC")</f>
        <v>30</v>
      </c>
      <c r="C6" s="10"/>
      <c r="D6" s="48" t="s">
        <v>125</v>
      </c>
      <c r="E6" s="4" t="s">
        <v>126</v>
      </c>
      <c r="F6" s="10"/>
      <c r="G6" s="10"/>
      <c r="H6" s="54" t="s">
        <v>105</v>
      </c>
      <c r="I6" s="55" t="s">
        <v>127</v>
      </c>
      <c r="J6" s="56">
        <v>30</v>
      </c>
      <c r="K6" s="57" t="s">
        <v>128</v>
      </c>
    </row>
    <row r="7" spans="1:11" ht="42" customHeight="1">
      <c r="A7" s="42" t="s">
        <v>129</v>
      </c>
      <c r="B7" s="45">
        <f>COUNTIF(Checklist!E8:E37,"CF")</f>
        <v>22</v>
      </c>
      <c r="C7" s="10"/>
      <c r="D7" s="49" t="s">
        <v>130</v>
      </c>
      <c r="E7" s="5" t="s">
        <v>131</v>
      </c>
      <c r="F7" s="10"/>
      <c r="G7" s="10"/>
      <c r="H7" s="58" t="s">
        <v>102</v>
      </c>
      <c r="I7" s="59" t="s">
        <v>132</v>
      </c>
      <c r="J7" s="60">
        <v>45</v>
      </c>
      <c r="K7" s="61" t="s">
        <v>133</v>
      </c>
    </row>
    <row r="8" spans="1:11" ht="42" customHeight="1">
      <c r="A8" s="42" t="s">
        <v>134</v>
      </c>
      <c r="B8" s="45">
        <f>COUNTIF(Checklist!E8:E37,"NC")</f>
        <v>8</v>
      </c>
      <c r="C8" s="10"/>
      <c r="D8" s="50" t="s">
        <v>135</v>
      </c>
      <c r="E8" s="6" t="s">
        <v>136</v>
      </c>
      <c r="F8" s="10"/>
      <c r="G8" s="10"/>
      <c r="H8" s="62" t="s">
        <v>109</v>
      </c>
      <c r="I8" s="63" t="s">
        <v>137</v>
      </c>
      <c r="J8" s="64">
        <v>60</v>
      </c>
      <c r="K8" s="65" t="s">
        <v>138</v>
      </c>
    </row>
    <row r="9" spans="1:11">
      <c r="A9" s="42" t="s">
        <v>139</v>
      </c>
      <c r="B9" s="45">
        <f>COUNTIF(Checklist!E8:E37,"N/A")</f>
        <v>0</v>
      </c>
      <c r="C9" s="10"/>
      <c r="D9" s="10"/>
      <c r="E9" s="10"/>
      <c r="F9" s="10"/>
      <c r="G9" s="10"/>
      <c r="H9" s="10"/>
      <c r="I9" s="10"/>
      <c r="J9" s="10"/>
      <c r="K9" s="10"/>
    </row>
    <row r="10" spans="1:11">
      <c r="A10" s="42" t="s">
        <v>140</v>
      </c>
      <c r="B10" s="45">
        <f>COUNTBLANK(Checklist!E8:E37)</f>
        <v>0</v>
      </c>
      <c r="C10" s="10"/>
      <c r="D10" s="10"/>
      <c r="E10" s="10"/>
      <c r="F10" s="10"/>
      <c r="G10" s="10"/>
      <c r="H10" s="10"/>
      <c r="I10" s="10"/>
      <c r="J10" s="10"/>
      <c r="K10" s="10"/>
    </row>
    <row r="11" spans="1:11">
      <c r="A11" s="42" t="s">
        <v>141</v>
      </c>
      <c r="B11" s="47">
        <f>IF((B7+B8)=0,"",B7/(B7+B8))</f>
        <v>0.73333333333333328</v>
      </c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22.9" customHeight="1">
      <c r="A12" s="43" t="s">
        <v>142</v>
      </c>
      <c r="B12" s="46" t="str">
        <f>IF(B11="","Pendente",IF(B11&lt;=60%,"Baixa aderência",IF(B11&lt;=90%,"Aderência parcial","Alta aderência")))</f>
        <v>Aderência parcial</v>
      </c>
      <c r="C12" s="10"/>
      <c r="D12" s="10"/>
      <c r="E12" s="10"/>
      <c r="F12" s="10"/>
      <c r="G12" s="10"/>
      <c r="H12" s="100" t="s">
        <v>143</v>
      </c>
      <c r="I12" s="100"/>
      <c r="J12" s="100"/>
    </row>
    <row r="13" spans="1:11" ht="34.15" customHeight="1">
      <c r="A13" s="10"/>
      <c r="B13" s="10"/>
      <c r="C13" s="10"/>
      <c r="D13" s="10"/>
      <c r="E13" s="10"/>
      <c r="F13" s="10"/>
      <c r="G13" s="10"/>
      <c r="H13" s="7" t="s">
        <v>144</v>
      </c>
      <c r="I13" s="8" t="s">
        <v>145</v>
      </c>
      <c r="J13" s="9" t="s">
        <v>146</v>
      </c>
      <c r="K13" s="10"/>
    </row>
    <row r="14" spans="1:11" ht="22.9">
      <c r="A14" s="10"/>
      <c r="B14" s="10"/>
      <c r="C14" s="10"/>
      <c r="D14" s="10"/>
      <c r="E14" s="10"/>
      <c r="F14" s="10"/>
      <c r="G14" s="10"/>
      <c r="H14" s="73" t="s">
        <v>147</v>
      </c>
      <c r="I14" s="51">
        <f>COUNTIFS('Controle de NC'!D6:D35,"NC",'Controle de NC'!G6:G35,"&lt;&gt;")</f>
        <v>8</v>
      </c>
      <c r="J14" s="4" t="s">
        <v>148</v>
      </c>
      <c r="K14" s="10"/>
    </row>
    <row r="15" spans="1:11" ht="22.9" customHeight="1">
      <c r="A15" s="101" t="s">
        <v>149</v>
      </c>
      <c r="B15" s="101"/>
      <c r="C15" s="101"/>
      <c r="D15" s="101"/>
      <c r="E15" s="101"/>
      <c r="F15" s="10"/>
      <c r="G15" s="10"/>
      <c r="H15" s="74" t="s">
        <v>150</v>
      </c>
      <c r="I15" s="52">
        <f>COUNTIF('Controle de NC'!N6:N35,"Aberta")</f>
        <v>7</v>
      </c>
      <c r="J15" s="5" t="s">
        <v>151</v>
      </c>
      <c r="K15" s="10"/>
    </row>
    <row r="16" spans="1:11" ht="34.15" customHeight="1">
      <c r="A16" s="7" t="s">
        <v>152</v>
      </c>
      <c r="B16" s="8" t="s">
        <v>153</v>
      </c>
      <c r="C16" s="8" t="s">
        <v>154</v>
      </c>
      <c r="D16" s="8" t="s">
        <v>155</v>
      </c>
      <c r="E16" s="9" t="s">
        <v>156</v>
      </c>
      <c r="F16" s="10"/>
      <c r="G16" s="10"/>
      <c r="H16" s="74" t="s">
        <v>157</v>
      </c>
      <c r="I16" s="52">
        <f>COUNTIF('Controle de NC'!N6:N35,"Em correção")</f>
        <v>0</v>
      </c>
      <c r="J16" s="5" t="s">
        <v>158</v>
      </c>
      <c r="K16" s="10"/>
    </row>
    <row r="17" spans="1:11" ht="37.9" customHeight="1">
      <c r="A17" s="54" t="s">
        <v>22</v>
      </c>
      <c r="B17" s="66" t="s">
        <v>159</v>
      </c>
      <c r="C17" s="66" t="s">
        <v>160</v>
      </c>
      <c r="D17" s="66" t="s">
        <v>161</v>
      </c>
      <c r="E17" s="57" t="s">
        <v>162</v>
      </c>
      <c r="F17" s="10"/>
      <c r="G17" s="10"/>
      <c r="H17" s="74" t="s">
        <v>163</v>
      </c>
      <c r="I17" s="52">
        <f>COUNTIF('Controle de NC'!N6:N35,"Resolvida")</f>
        <v>0</v>
      </c>
      <c r="J17" s="5" t="s">
        <v>164</v>
      </c>
      <c r="K17" s="10"/>
    </row>
    <row r="18" spans="1:11" ht="37.9" customHeight="1">
      <c r="A18" s="67" t="s">
        <v>25</v>
      </c>
      <c r="B18" s="68" t="s">
        <v>165</v>
      </c>
      <c r="C18" s="68" t="s">
        <v>166</v>
      </c>
      <c r="D18" s="68" t="s">
        <v>167</v>
      </c>
      <c r="E18" s="69" t="s">
        <v>168</v>
      </c>
      <c r="F18" s="10"/>
      <c r="G18" s="10"/>
      <c r="H18" s="75" t="s">
        <v>169</v>
      </c>
      <c r="I18" s="53">
        <f>COUNTIF('Controle de NC'!N6:N35,"Escalonada")</f>
        <v>1</v>
      </c>
      <c r="J18" s="6" t="s">
        <v>170</v>
      </c>
      <c r="K18" s="10"/>
    </row>
    <row r="19" spans="1:11" ht="37.9" customHeight="1">
      <c r="A19" s="70" t="s">
        <v>171</v>
      </c>
      <c r="B19" s="71" t="s">
        <v>172</v>
      </c>
      <c r="C19" s="71" t="s">
        <v>173</v>
      </c>
      <c r="D19" s="71" t="s">
        <v>174</v>
      </c>
      <c r="E19" s="72" t="s">
        <v>175</v>
      </c>
      <c r="F19" s="10"/>
      <c r="G19" s="10"/>
      <c r="H19" s="10"/>
      <c r="I19" s="10"/>
      <c r="J19" s="10"/>
      <c r="K19" s="10"/>
    </row>
    <row r="20" spans="1:1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</sheetData>
  <mergeCells count="7">
    <mergeCell ref="H12:J12"/>
    <mergeCell ref="A15:E15"/>
    <mergeCell ref="A1:K1"/>
    <mergeCell ref="A2:K2"/>
    <mergeCell ref="A4:B4"/>
    <mergeCell ref="D4:E4"/>
    <mergeCell ref="H4:K4"/>
  </mergeCells>
  <conditionalFormatting sqref="B11">
    <cfRule type="expression" dxfId="5" priority="1">
      <formula>AND(ISNUMBER($B$11),$B$11&lt;=60%)</formula>
    </cfRule>
    <cfRule type="expression" dxfId="4" priority="2">
      <formula>AND(ISNUMBER($B$11),$B$11&gt;60%,$B$11&lt;=90%)</formula>
    </cfRule>
    <cfRule type="expression" dxfId="3" priority="3">
      <formula>AND(ISNUMBER($B$11),$B$11&gt;90%)</formula>
    </cfRule>
  </conditionalFormatting>
  <conditionalFormatting sqref="D6:E8">
    <cfRule type="expression" dxfId="2" priority="4">
      <formula>ROW()=6</formula>
    </cfRule>
    <cfRule type="expression" dxfId="1" priority="5">
      <formula>ROW()=7</formula>
    </cfRule>
    <cfRule type="expression" dxfId="0" priority="6">
      <formula>ROW()=8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db48d9-65a7-4c03-bad2-4cbbc508e07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5BD50D4CCE8E4994B8539021E2C5D4" ma:contentTypeVersion="10" ma:contentTypeDescription="Create a new document." ma:contentTypeScope="" ma:versionID="af70b9adc62f1d32f74eac3181bcea3a">
  <xsd:schema xmlns:xsd="http://www.w3.org/2001/XMLSchema" xmlns:xs="http://www.w3.org/2001/XMLSchema" xmlns:p="http://schemas.microsoft.com/office/2006/metadata/properties" xmlns:ns3="36db48d9-65a7-4c03-bad2-4cbbc508e076" targetNamespace="http://schemas.microsoft.com/office/2006/metadata/properties" ma:root="true" ma:fieldsID="3ff9c1b3574e38975958cd87556dfa75" ns3:_="">
    <xsd:import namespace="36db48d9-65a7-4c03-bad2-4cbbc508e07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b48d9-65a7-4c03-bad2-4cbbc508e07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DED981-C0C7-4163-ABCC-54D5188C0C3F}"/>
</file>

<file path=customXml/itemProps2.xml><?xml version="1.0" encoding="utf-8"?>
<ds:datastoreItem xmlns:ds="http://schemas.openxmlformats.org/officeDocument/2006/customXml" ds:itemID="{1D132A5D-603E-4365-89D0-BFFEE9B7CFA0}"/>
</file>

<file path=customXml/itemProps3.xml><?xml version="1.0" encoding="utf-8"?>
<ds:datastoreItem xmlns:ds="http://schemas.openxmlformats.org/officeDocument/2006/customXml" ds:itemID="{60E43F38-29F8-4E40-9167-470B4EC85D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2026-09-01T15:23:21Z</dcterms:created>
  <dcterms:modified xsi:type="dcterms:W3CDTF">2026-09-09T11:55:23Z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0x010100735BD50D4CCE8E4994B8539021E2C5D4</vt:lpwstr>
  </property>
</Properties>
</file>